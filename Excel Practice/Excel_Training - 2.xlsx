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BFA2FAD1-0CCE-4BC1-BCB8-ECEEA687C4BF}" xr6:coauthVersionLast="47" xr6:coauthVersionMax="47" xr10:uidLastSave="{00000000-0000-0000-0000-000000000000}"/>
  <bookViews>
    <workbookView xWindow="-120" yWindow="-120" windowWidth="20730" windowHeight="11040" tabRatio="500" firstSheet="2" activeTab="4" xr2:uid="{00000000-000D-0000-FFFF-FFFF00000000}"/>
  </bookViews>
  <sheets>
    <sheet name="Dataset" sheetId="1" r:id="rId1"/>
    <sheet name="S2_Lookup_Functions" sheetId="2" r:id="rId2"/>
    <sheet name="S3_Logical_Functions" sheetId="3" r:id="rId3"/>
    <sheet name="S4_DateTime_Functions" sheetId="4" r:id="rId4"/>
    <sheet name="S5_Text_Func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4" i="2"/>
  <c r="E4" i="2"/>
  <c r="C70" i="5"/>
  <c r="A70" i="5"/>
  <c r="C69" i="5"/>
  <c r="C68" i="5"/>
  <c r="C67" i="5"/>
  <c r="A66" i="5"/>
  <c r="C66" i="5" s="1"/>
  <c r="A65" i="5"/>
  <c r="C65" i="5" s="1"/>
  <c r="A64" i="5"/>
  <c r="C64" i="5" s="1"/>
  <c r="G59" i="5"/>
  <c r="F59" i="5"/>
  <c r="D59" i="5"/>
  <c r="E59" i="5" s="1"/>
  <c r="B59" i="5"/>
  <c r="C59" i="5" s="1"/>
  <c r="G58" i="5"/>
  <c r="F58" i="5"/>
  <c r="D58" i="5"/>
  <c r="E58" i="5" s="1"/>
  <c r="B58" i="5"/>
  <c r="C58" i="5" s="1"/>
  <c r="G57" i="5"/>
  <c r="F57" i="5"/>
  <c r="D57" i="5"/>
  <c r="E57" i="5" s="1"/>
  <c r="B57" i="5"/>
  <c r="C57" i="5" s="1"/>
  <c r="G56" i="5"/>
  <c r="F56" i="5"/>
  <c r="D56" i="5"/>
  <c r="E56" i="5" s="1"/>
  <c r="B56" i="5"/>
  <c r="C56" i="5" s="1"/>
  <c r="G55" i="5"/>
  <c r="F55" i="5"/>
  <c r="D55" i="5"/>
  <c r="E55" i="5" s="1"/>
  <c r="B55" i="5"/>
  <c r="C55" i="5" s="1"/>
  <c r="G54" i="5"/>
  <c r="F54" i="5"/>
  <c r="D54" i="5"/>
  <c r="E54" i="5" s="1"/>
  <c r="B54" i="5"/>
  <c r="C54" i="5" s="1"/>
  <c r="G53" i="5"/>
  <c r="F53" i="5"/>
  <c r="D53" i="5"/>
  <c r="E53" i="5" s="1"/>
  <c r="B53" i="5"/>
  <c r="C53" i="5" s="1"/>
  <c r="G52" i="5"/>
  <c r="F52" i="5"/>
  <c r="D52" i="5"/>
  <c r="E52" i="5" s="1"/>
  <c r="B52" i="5"/>
  <c r="C52" i="5" s="1"/>
  <c r="G51" i="5"/>
  <c r="F51" i="5"/>
  <c r="D51" i="5"/>
  <c r="E51" i="5" s="1"/>
  <c r="B51" i="5"/>
  <c r="C51" i="5" s="1"/>
  <c r="G50" i="5"/>
  <c r="F50" i="5"/>
  <c r="D50" i="5"/>
  <c r="E50" i="5" s="1"/>
  <c r="B50" i="5"/>
  <c r="C50" i="5" s="1"/>
  <c r="G49" i="5"/>
  <c r="F49" i="5"/>
  <c r="D49" i="5"/>
  <c r="E49" i="5" s="1"/>
  <c r="B49" i="5"/>
  <c r="C49" i="5" s="1"/>
  <c r="G48" i="5"/>
  <c r="F48" i="5"/>
  <c r="D48" i="5"/>
  <c r="E48" i="5" s="1"/>
  <c r="B48" i="5"/>
  <c r="C48" i="5" s="1"/>
  <c r="G47" i="5"/>
  <c r="F47" i="5"/>
  <c r="D47" i="5"/>
  <c r="E47" i="5" s="1"/>
  <c r="B47" i="5"/>
  <c r="C47" i="5" s="1"/>
  <c r="G46" i="5"/>
  <c r="F46" i="5"/>
  <c r="D46" i="5"/>
  <c r="E46" i="5" s="1"/>
  <c r="B46" i="5"/>
  <c r="C46" i="5" s="1"/>
  <c r="G45" i="5"/>
  <c r="F45" i="5"/>
  <c r="D45" i="5"/>
  <c r="E45" i="5" s="1"/>
  <c r="B45" i="5"/>
  <c r="C45" i="5" s="1"/>
  <c r="G44" i="5"/>
  <c r="F44" i="5"/>
  <c r="D44" i="5"/>
  <c r="E44" i="5" s="1"/>
  <c r="B44" i="5"/>
  <c r="C44" i="5" s="1"/>
  <c r="G43" i="5"/>
  <c r="F43" i="5"/>
  <c r="D43" i="5"/>
  <c r="E43" i="5" s="1"/>
  <c r="B43" i="5"/>
  <c r="C43" i="5" s="1"/>
  <c r="G42" i="5"/>
  <c r="F42" i="5"/>
  <c r="D42" i="5"/>
  <c r="E42" i="5" s="1"/>
  <c r="B42" i="5"/>
  <c r="C42" i="5" s="1"/>
  <c r="G41" i="5"/>
  <c r="F41" i="5"/>
  <c r="D41" i="5"/>
  <c r="E41" i="5" s="1"/>
  <c r="B41" i="5"/>
  <c r="C41" i="5" s="1"/>
  <c r="G40" i="5"/>
  <c r="F40" i="5"/>
  <c r="D40" i="5"/>
  <c r="E40" i="5" s="1"/>
  <c r="B40" i="5"/>
  <c r="C40" i="5" s="1"/>
  <c r="G36" i="5"/>
  <c r="F36" i="5"/>
  <c r="E36" i="5"/>
  <c r="D36" i="5"/>
  <c r="C36" i="5"/>
  <c r="G35" i="5"/>
  <c r="F35" i="5"/>
  <c r="E35" i="5"/>
  <c r="D35" i="5"/>
  <c r="C35" i="5"/>
  <c r="G34" i="5"/>
  <c r="F34" i="5"/>
  <c r="E34" i="5"/>
  <c r="D34" i="5"/>
  <c r="C34" i="5"/>
  <c r="G33" i="5"/>
  <c r="F33" i="5"/>
  <c r="E33" i="5"/>
  <c r="D33" i="5"/>
  <c r="C33" i="5"/>
  <c r="G32" i="5"/>
  <c r="F32" i="5"/>
  <c r="E32" i="5"/>
  <c r="D32" i="5"/>
  <c r="C32" i="5"/>
  <c r="G31" i="5"/>
  <c r="F31" i="5"/>
  <c r="E31" i="5"/>
  <c r="D31" i="5"/>
  <c r="C31" i="5"/>
  <c r="G30" i="5"/>
  <c r="F30" i="5"/>
  <c r="E30" i="5"/>
  <c r="D30" i="5"/>
  <c r="C30" i="5"/>
  <c r="G29" i="5"/>
  <c r="F29" i="5"/>
  <c r="E29" i="5"/>
  <c r="D29" i="5"/>
  <c r="C29" i="5"/>
  <c r="G28" i="5"/>
  <c r="F28" i="5"/>
  <c r="E28" i="5"/>
  <c r="D28" i="5"/>
  <c r="C28" i="5"/>
  <c r="G27" i="5"/>
  <c r="F27" i="5"/>
  <c r="E27" i="5"/>
  <c r="D27" i="5"/>
  <c r="C27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H34" i="4"/>
  <c r="C34" i="4"/>
  <c r="E34" i="4" s="1"/>
  <c r="B34" i="4"/>
  <c r="D34" i="4" s="1"/>
  <c r="H33" i="4"/>
  <c r="E33" i="4"/>
  <c r="D33" i="4"/>
  <c r="C33" i="4"/>
  <c r="B33" i="4"/>
  <c r="G33" i="4" s="1"/>
  <c r="H32" i="4"/>
  <c r="G32" i="4"/>
  <c r="E32" i="4"/>
  <c r="D32" i="4"/>
  <c r="C32" i="4"/>
  <c r="B32" i="4"/>
  <c r="F32" i="4" s="1"/>
  <c r="H31" i="4"/>
  <c r="D31" i="4"/>
  <c r="C31" i="4"/>
  <c r="E31" i="4" s="1"/>
  <c r="B31" i="4"/>
  <c r="G31" i="4" s="1"/>
  <c r="H30" i="4"/>
  <c r="C30" i="4"/>
  <c r="B30" i="4"/>
  <c r="D30" i="4" s="1"/>
  <c r="H29" i="4"/>
  <c r="D29" i="4"/>
  <c r="C29" i="4"/>
  <c r="B29" i="4"/>
  <c r="G29" i="4" s="1"/>
  <c r="H28" i="4"/>
  <c r="G28" i="4"/>
  <c r="E28" i="4"/>
  <c r="D28" i="4"/>
  <c r="C28" i="4"/>
  <c r="B28" i="4"/>
  <c r="F28" i="4" s="1"/>
  <c r="H27" i="4"/>
  <c r="D27" i="4"/>
  <c r="C27" i="4"/>
  <c r="E27" i="4" s="1"/>
  <c r="B27" i="4"/>
  <c r="G27" i="4" s="1"/>
  <c r="H26" i="4"/>
  <c r="C26" i="4"/>
  <c r="B26" i="4"/>
  <c r="D26" i="4" s="1"/>
  <c r="H25" i="4"/>
  <c r="D25" i="4"/>
  <c r="C25" i="4"/>
  <c r="B25" i="4"/>
  <c r="G25" i="4" s="1"/>
  <c r="H24" i="4"/>
  <c r="G24" i="4"/>
  <c r="E24" i="4"/>
  <c r="D24" i="4"/>
  <c r="C24" i="4"/>
  <c r="B24" i="4"/>
  <c r="F24" i="4" s="1"/>
  <c r="H23" i="4"/>
  <c r="D23" i="4"/>
  <c r="C23" i="4"/>
  <c r="E23" i="4" s="1"/>
  <c r="B23" i="4"/>
  <c r="G23" i="4" s="1"/>
  <c r="H22" i="4"/>
  <c r="C22" i="4"/>
  <c r="B22" i="4"/>
  <c r="D22" i="4" s="1"/>
  <c r="H21" i="4"/>
  <c r="D21" i="4"/>
  <c r="C21" i="4"/>
  <c r="B21" i="4"/>
  <c r="G21" i="4" s="1"/>
  <c r="H20" i="4"/>
  <c r="G20" i="4"/>
  <c r="E20" i="4"/>
  <c r="D20" i="4"/>
  <c r="C20" i="4"/>
  <c r="B20" i="4"/>
  <c r="F20" i="4" s="1"/>
  <c r="H19" i="4"/>
  <c r="D19" i="4"/>
  <c r="C19" i="4"/>
  <c r="E19" i="4" s="1"/>
  <c r="B19" i="4"/>
  <c r="G19" i="4" s="1"/>
  <c r="H18" i="4"/>
  <c r="C18" i="4"/>
  <c r="B18" i="4"/>
  <c r="D18" i="4" s="1"/>
  <c r="H17" i="4"/>
  <c r="D17" i="4"/>
  <c r="C17" i="4"/>
  <c r="B17" i="4"/>
  <c r="G17" i="4" s="1"/>
  <c r="H16" i="4"/>
  <c r="G16" i="4"/>
  <c r="E16" i="4"/>
  <c r="D16" i="4"/>
  <c r="C16" i="4"/>
  <c r="B16" i="4"/>
  <c r="F16" i="4" s="1"/>
  <c r="H15" i="4"/>
  <c r="D15" i="4"/>
  <c r="C15" i="4"/>
  <c r="E15" i="4" s="1"/>
  <c r="B15" i="4"/>
  <c r="G15" i="4" s="1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C46" i="3"/>
  <c r="F46" i="3" s="1"/>
  <c r="B46" i="3"/>
  <c r="E46" i="3" s="1"/>
  <c r="F45" i="3"/>
  <c r="D45" i="3"/>
  <c r="C45" i="3"/>
  <c r="B45" i="3"/>
  <c r="G45" i="3" s="1"/>
  <c r="F44" i="3"/>
  <c r="C44" i="3"/>
  <c r="D44" i="3" s="1"/>
  <c r="B44" i="3"/>
  <c r="E44" i="3" s="1"/>
  <c r="F43" i="3"/>
  <c r="C43" i="3"/>
  <c r="B43" i="3"/>
  <c r="G43" i="3" s="1"/>
  <c r="C42" i="3"/>
  <c r="F42" i="3" s="1"/>
  <c r="B42" i="3"/>
  <c r="E42" i="3" s="1"/>
  <c r="F41" i="3"/>
  <c r="D41" i="3"/>
  <c r="C41" i="3"/>
  <c r="B41" i="3"/>
  <c r="G41" i="3" s="1"/>
  <c r="F40" i="3"/>
  <c r="C40" i="3"/>
  <c r="D40" i="3" s="1"/>
  <c r="B40" i="3"/>
  <c r="E40" i="3" s="1"/>
  <c r="F39" i="3"/>
  <c r="C39" i="3"/>
  <c r="B39" i="3"/>
  <c r="G39" i="3" s="1"/>
  <c r="C38" i="3"/>
  <c r="F38" i="3" s="1"/>
  <c r="B38" i="3"/>
  <c r="E38" i="3" s="1"/>
  <c r="F37" i="3"/>
  <c r="D37" i="3"/>
  <c r="C37" i="3"/>
  <c r="B37" i="3"/>
  <c r="G37" i="3" s="1"/>
  <c r="F36" i="3"/>
  <c r="C36" i="3"/>
  <c r="D36" i="3" s="1"/>
  <c r="B36" i="3"/>
  <c r="E36" i="3" s="1"/>
  <c r="F35" i="3"/>
  <c r="C35" i="3"/>
  <c r="B35" i="3"/>
  <c r="G35" i="3" s="1"/>
  <c r="C34" i="3"/>
  <c r="F34" i="3" s="1"/>
  <c r="B34" i="3"/>
  <c r="E34" i="3" s="1"/>
  <c r="F33" i="3"/>
  <c r="D33" i="3"/>
  <c r="C33" i="3"/>
  <c r="B33" i="3"/>
  <c r="G33" i="3" s="1"/>
  <c r="F32" i="3"/>
  <c r="C32" i="3"/>
  <c r="D32" i="3" s="1"/>
  <c r="B32" i="3"/>
  <c r="E32" i="3" s="1"/>
  <c r="F31" i="3"/>
  <c r="C31" i="3"/>
  <c r="B31" i="3"/>
  <c r="G31" i="3" s="1"/>
  <c r="C30" i="3"/>
  <c r="F30" i="3" s="1"/>
  <c r="B30" i="3"/>
  <c r="E30" i="3" s="1"/>
  <c r="F29" i="3"/>
  <c r="D29" i="3"/>
  <c r="C29" i="3"/>
  <c r="B29" i="3"/>
  <c r="G29" i="3" s="1"/>
  <c r="F28" i="3"/>
  <c r="C28" i="3"/>
  <c r="D28" i="3" s="1"/>
  <c r="B28" i="3"/>
  <c r="E28" i="3" s="1"/>
  <c r="F27" i="3"/>
  <c r="C27" i="3"/>
  <c r="B27" i="3"/>
  <c r="G27" i="3" s="1"/>
  <c r="F23" i="3"/>
  <c r="G23" i="3" s="1"/>
  <c r="D23" i="3"/>
  <c r="E23" i="3" s="1"/>
  <c r="C23" i="3"/>
  <c r="B23" i="3"/>
  <c r="F22" i="3"/>
  <c r="G22" i="3" s="1"/>
  <c r="D22" i="3"/>
  <c r="E22" i="3" s="1"/>
  <c r="C22" i="3"/>
  <c r="B22" i="3"/>
  <c r="F21" i="3"/>
  <c r="G21" i="3" s="1"/>
  <c r="D21" i="3"/>
  <c r="E21" i="3" s="1"/>
  <c r="C21" i="3"/>
  <c r="B21" i="3"/>
  <c r="F20" i="3"/>
  <c r="G20" i="3" s="1"/>
  <c r="D20" i="3"/>
  <c r="E20" i="3" s="1"/>
  <c r="C20" i="3"/>
  <c r="B20" i="3"/>
  <c r="F19" i="3"/>
  <c r="G19" i="3" s="1"/>
  <c r="D19" i="3"/>
  <c r="E19" i="3" s="1"/>
  <c r="C19" i="3"/>
  <c r="B19" i="3"/>
  <c r="F18" i="3"/>
  <c r="G18" i="3" s="1"/>
  <c r="D18" i="3"/>
  <c r="E18" i="3" s="1"/>
  <c r="C18" i="3"/>
  <c r="B18" i="3"/>
  <c r="F17" i="3"/>
  <c r="G17" i="3" s="1"/>
  <c r="D17" i="3"/>
  <c r="E17" i="3" s="1"/>
  <c r="C17" i="3"/>
  <c r="B17" i="3"/>
  <c r="F16" i="3"/>
  <c r="G16" i="3" s="1"/>
  <c r="D16" i="3"/>
  <c r="E16" i="3" s="1"/>
  <c r="C16" i="3"/>
  <c r="B16" i="3"/>
  <c r="F15" i="3"/>
  <c r="G15" i="3" s="1"/>
  <c r="D15" i="3"/>
  <c r="E15" i="3" s="1"/>
  <c r="C15" i="3"/>
  <c r="B15" i="3"/>
  <c r="F14" i="3"/>
  <c r="G14" i="3" s="1"/>
  <c r="D14" i="3"/>
  <c r="E14" i="3" s="1"/>
  <c r="C14" i="3"/>
  <c r="B14" i="3"/>
  <c r="F13" i="3"/>
  <c r="G13" i="3" s="1"/>
  <c r="D13" i="3"/>
  <c r="E13" i="3" s="1"/>
  <c r="C13" i="3"/>
  <c r="B13" i="3"/>
  <c r="F12" i="3"/>
  <c r="G12" i="3" s="1"/>
  <c r="D12" i="3"/>
  <c r="E12" i="3" s="1"/>
  <c r="C12" i="3"/>
  <c r="B12" i="3"/>
  <c r="F11" i="3"/>
  <c r="G11" i="3" s="1"/>
  <c r="D11" i="3"/>
  <c r="E11" i="3" s="1"/>
  <c r="C11" i="3"/>
  <c r="B11" i="3"/>
  <c r="F10" i="3"/>
  <c r="G10" i="3" s="1"/>
  <c r="D10" i="3"/>
  <c r="E10" i="3" s="1"/>
  <c r="C10" i="3"/>
  <c r="B10" i="3"/>
  <c r="F9" i="3"/>
  <c r="G9" i="3" s="1"/>
  <c r="D9" i="3"/>
  <c r="E9" i="3" s="1"/>
  <c r="C9" i="3"/>
  <c r="B9" i="3"/>
  <c r="F8" i="3"/>
  <c r="G8" i="3" s="1"/>
  <c r="D8" i="3"/>
  <c r="E8" i="3" s="1"/>
  <c r="C8" i="3"/>
  <c r="B8" i="3"/>
  <c r="F7" i="3"/>
  <c r="G7" i="3" s="1"/>
  <c r="D7" i="3"/>
  <c r="E7" i="3" s="1"/>
  <c r="C7" i="3"/>
  <c r="B7" i="3"/>
  <c r="F6" i="3"/>
  <c r="G6" i="3" s="1"/>
  <c r="D6" i="3"/>
  <c r="E6" i="3" s="1"/>
  <c r="C6" i="3"/>
  <c r="B6" i="3"/>
  <c r="F5" i="3"/>
  <c r="G5" i="3" s="1"/>
  <c r="D5" i="3"/>
  <c r="E5" i="3" s="1"/>
  <c r="C5" i="3"/>
  <c r="B5" i="3"/>
  <c r="F4" i="3"/>
  <c r="G4" i="3" s="1"/>
  <c r="D4" i="3"/>
  <c r="E4" i="3" s="1"/>
  <c r="C4" i="3"/>
  <c r="B4" i="3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H46" i="2"/>
  <c r="G46" i="2"/>
  <c r="F46" i="2"/>
  <c r="D46" i="2"/>
  <c r="C46" i="2"/>
  <c r="B46" i="2"/>
  <c r="H45" i="2"/>
  <c r="G45" i="2"/>
  <c r="F45" i="2"/>
  <c r="D45" i="2"/>
  <c r="C45" i="2"/>
  <c r="B45" i="2"/>
  <c r="H44" i="2"/>
  <c r="G44" i="2"/>
  <c r="F44" i="2"/>
  <c r="D44" i="2"/>
  <c r="C44" i="2"/>
  <c r="B44" i="2"/>
  <c r="H43" i="2"/>
  <c r="G43" i="2"/>
  <c r="F43" i="2"/>
  <c r="D43" i="2"/>
  <c r="C43" i="2"/>
  <c r="B43" i="2"/>
  <c r="H42" i="2"/>
  <c r="G42" i="2"/>
  <c r="F42" i="2"/>
  <c r="D42" i="2"/>
  <c r="C42" i="2"/>
  <c r="B42" i="2"/>
  <c r="H41" i="2"/>
  <c r="G41" i="2"/>
  <c r="F41" i="2"/>
  <c r="D41" i="2"/>
  <c r="C41" i="2"/>
  <c r="B41" i="2"/>
  <c r="H40" i="2"/>
  <c r="G40" i="2"/>
  <c r="F40" i="2"/>
  <c r="D40" i="2"/>
  <c r="C40" i="2"/>
  <c r="B40" i="2"/>
  <c r="H39" i="2"/>
  <c r="G39" i="2"/>
  <c r="F39" i="2"/>
  <c r="D39" i="2"/>
  <c r="C39" i="2"/>
  <c r="B39" i="2"/>
  <c r="H38" i="2"/>
  <c r="G38" i="2"/>
  <c r="F38" i="2"/>
  <c r="D38" i="2"/>
  <c r="C38" i="2"/>
  <c r="B38" i="2"/>
  <c r="H37" i="2"/>
  <c r="G37" i="2"/>
  <c r="F37" i="2"/>
  <c r="D37" i="2"/>
  <c r="C37" i="2"/>
  <c r="B37" i="2"/>
  <c r="H36" i="2"/>
  <c r="G36" i="2"/>
  <c r="F36" i="2"/>
  <c r="D36" i="2"/>
  <c r="C36" i="2"/>
  <c r="B36" i="2"/>
  <c r="H35" i="2"/>
  <c r="G35" i="2"/>
  <c r="F35" i="2"/>
  <c r="D35" i="2"/>
  <c r="C35" i="2"/>
  <c r="B35" i="2"/>
  <c r="H34" i="2"/>
  <c r="G34" i="2"/>
  <c r="F34" i="2"/>
  <c r="D34" i="2"/>
  <c r="C34" i="2"/>
  <c r="B34" i="2"/>
  <c r="H33" i="2"/>
  <c r="G33" i="2"/>
  <c r="F33" i="2"/>
  <c r="D33" i="2"/>
  <c r="C33" i="2"/>
  <c r="B33" i="2"/>
  <c r="H32" i="2"/>
  <c r="G32" i="2"/>
  <c r="F32" i="2"/>
  <c r="D32" i="2"/>
  <c r="C32" i="2"/>
  <c r="B32" i="2"/>
  <c r="H31" i="2"/>
  <c r="G31" i="2"/>
  <c r="F31" i="2"/>
  <c r="D31" i="2"/>
  <c r="C31" i="2"/>
  <c r="B31" i="2"/>
  <c r="H30" i="2"/>
  <c r="G30" i="2"/>
  <c r="F30" i="2"/>
  <c r="D30" i="2"/>
  <c r="C30" i="2"/>
  <c r="B30" i="2"/>
  <c r="H29" i="2"/>
  <c r="G29" i="2"/>
  <c r="F29" i="2"/>
  <c r="D29" i="2"/>
  <c r="C29" i="2"/>
  <c r="B29" i="2"/>
  <c r="H28" i="2"/>
  <c r="G28" i="2"/>
  <c r="F28" i="2"/>
  <c r="D28" i="2"/>
  <c r="C28" i="2"/>
  <c r="B28" i="2"/>
  <c r="H27" i="2"/>
  <c r="G27" i="2"/>
  <c r="F27" i="2"/>
  <c r="D27" i="2"/>
  <c r="C27" i="2"/>
  <c r="B27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D4" i="2"/>
  <c r="C4" i="2"/>
  <c r="B4" i="2"/>
  <c r="J21" i="1"/>
  <c r="E46" i="2" s="1"/>
  <c r="J20" i="1"/>
  <c r="E45" i="2" s="1"/>
  <c r="J19" i="1"/>
  <c r="E44" i="2" s="1"/>
  <c r="J18" i="1"/>
  <c r="E43" i="2" s="1"/>
  <c r="J17" i="1"/>
  <c r="E42" i="2" s="1"/>
  <c r="J16" i="1"/>
  <c r="E41" i="2" s="1"/>
  <c r="J15" i="1"/>
  <c r="E40" i="2" s="1"/>
  <c r="J14" i="1"/>
  <c r="E39" i="2" s="1"/>
  <c r="J13" i="1"/>
  <c r="E38" i="2" s="1"/>
  <c r="J12" i="1"/>
  <c r="E37" i="2" s="1"/>
  <c r="J11" i="1"/>
  <c r="E36" i="2" s="1"/>
  <c r="J10" i="1"/>
  <c r="E35" i="2" s="1"/>
  <c r="J9" i="1"/>
  <c r="E34" i="2" s="1"/>
  <c r="J8" i="1"/>
  <c r="E33" i="2" s="1"/>
  <c r="J7" i="1"/>
  <c r="E32" i="2" s="1"/>
  <c r="J6" i="1"/>
  <c r="E31" i="2" s="1"/>
  <c r="J5" i="1"/>
  <c r="E30" i="2" s="1"/>
  <c r="J4" i="1"/>
  <c r="E29" i="2" s="1"/>
  <c r="J3" i="1"/>
  <c r="E28" i="2" s="1"/>
  <c r="J2" i="1"/>
  <c r="E27" i="2" s="1"/>
  <c r="D72" i="2"/>
  <c r="D71" i="2"/>
  <c r="D70" i="2"/>
  <c r="D69" i="2"/>
  <c r="F71" i="2"/>
  <c r="E70" i="2"/>
  <c r="C69" i="2"/>
  <c r="C68" i="2"/>
  <c r="C67" i="2"/>
  <c r="C66" i="2"/>
  <c r="C65" i="2"/>
  <c r="C64" i="2"/>
  <c r="C63" i="2"/>
  <c r="F72" i="2"/>
  <c r="E71" i="2"/>
  <c r="C70" i="2"/>
  <c r="F68" i="2"/>
  <c r="F67" i="2"/>
  <c r="F66" i="2"/>
  <c r="F65" i="2"/>
  <c r="F64" i="2"/>
  <c r="F63" i="2"/>
  <c r="E72" i="2"/>
  <c r="C71" i="2"/>
  <c r="F69" i="2"/>
  <c r="E68" i="2"/>
  <c r="E67" i="2"/>
  <c r="E66" i="2"/>
  <c r="E65" i="2"/>
  <c r="E64" i="2"/>
  <c r="E63" i="2"/>
  <c r="C72" i="2"/>
  <c r="F70" i="2"/>
  <c r="E69" i="2"/>
  <c r="D68" i="2"/>
  <c r="D67" i="2"/>
  <c r="D66" i="2"/>
  <c r="D65" i="2"/>
  <c r="D64" i="2"/>
  <c r="D63" i="2"/>
  <c r="G28" i="3" l="1"/>
  <c r="E29" i="3"/>
  <c r="D30" i="3"/>
  <c r="G32" i="3"/>
  <c r="E33" i="3"/>
  <c r="D34" i="3"/>
  <c r="G36" i="3"/>
  <c r="E37" i="3"/>
  <c r="D38" i="3"/>
  <c r="G40" i="3"/>
  <c r="E41" i="3"/>
  <c r="D42" i="3"/>
  <c r="G44" i="3"/>
  <c r="E45" i="3"/>
  <c r="D46" i="3"/>
  <c r="F15" i="4"/>
  <c r="E17" i="4"/>
  <c r="F19" i="4"/>
  <c r="E21" i="4"/>
  <c r="F23" i="4"/>
  <c r="E25" i="4"/>
  <c r="F27" i="4"/>
  <c r="E29" i="4"/>
  <c r="F31" i="4"/>
  <c r="D27" i="3"/>
  <c r="D31" i="3"/>
  <c r="D35" i="3"/>
  <c r="D39" i="3"/>
  <c r="D43" i="3"/>
  <c r="F17" i="4"/>
  <c r="E18" i="4"/>
  <c r="F21" i="4"/>
  <c r="E22" i="4"/>
  <c r="F25" i="4"/>
  <c r="E26" i="4"/>
  <c r="F29" i="4"/>
  <c r="E30" i="4"/>
  <c r="F33" i="4"/>
  <c r="E27" i="3"/>
  <c r="G30" i="3"/>
  <c r="E31" i="3"/>
  <c r="G34" i="3"/>
  <c r="E35" i="3"/>
  <c r="G38" i="3"/>
  <c r="E39" i="3"/>
  <c r="G42" i="3"/>
  <c r="E43" i="3"/>
  <c r="G46" i="3"/>
  <c r="F18" i="4"/>
  <c r="F22" i="4"/>
  <c r="F26" i="4"/>
  <c r="F30" i="4"/>
  <c r="F34" i="4"/>
  <c r="G18" i="4"/>
  <c r="G22" i="4"/>
  <c r="G26" i="4"/>
  <c r="G30" i="4"/>
  <c r="G34" i="4"/>
</calcChain>
</file>

<file path=xl/sharedStrings.xml><?xml version="1.0" encoding="utf-8"?>
<sst xmlns="http://schemas.openxmlformats.org/spreadsheetml/2006/main" count="510" uniqueCount="177">
  <si>
    <t>Bug_ID</t>
  </si>
  <si>
    <t>Project</t>
  </si>
  <si>
    <t>Module</t>
  </si>
  <si>
    <t>Tester</t>
  </si>
  <si>
    <t>Severity</t>
  </si>
  <si>
    <t>Priority</t>
  </si>
  <si>
    <t>Status</t>
  </si>
  <si>
    <t>Reported_Date</t>
  </si>
  <si>
    <t>Resolved_Date</t>
  </si>
  <si>
    <t>Days_Open</t>
  </si>
  <si>
    <t>Hours_Spent</t>
  </si>
  <si>
    <t>Pass_Fail</t>
  </si>
  <si>
    <t>Environment</t>
  </si>
  <si>
    <t>Retest_Due</t>
  </si>
  <si>
    <t>Bug_Description</t>
  </si>
  <si>
    <t>BUG-001</t>
  </si>
  <si>
    <t>Alpha</t>
  </si>
  <si>
    <t>Login</t>
  </si>
  <si>
    <t>Alice</t>
  </si>
  <si>
    <t>Critical</t>
  </si>
  <si>
    <t>High</t>
  </si>
  <si>
    <t>Open</t>
  </si>
  <si>
    <t>Fail</t>
  </si>
  <si>
    <t>QA</t>
  </si>
  <si>
    <t>Login button unresponsive on Chrome</t>
  </si>
  <si>
    <t>BUG-002</t>
  </si>
  <si>
    <t>Dashboard</t>
  </si>
  <si>
    <t>Bob</t>
  </si>
  <si>
    <t>Resolved</t>
  </si>
  <si>
    <t>Pass</t>
  </si>
  <si>
    <t>Dashboard loads slowly on first open</t>
  </si>
  <si>
    <t>BUG-003</t>
  </si>
  <si>
    <t>Beta</t>
  </si>
  <si>
    <t>Reports</t>
  </si>
  <si>
    <t>Medium</t>
  </si>
  <si>
    <t>Staging</t>
  </si>
  <si>
    <t>Export to PDF fails silently</t>
  </si>
  <si>
    <t>BUG-004</t>
  </si>
  <si>
    <t>Charlie</t>
  </si>
  <si>
    <t>Low</t>
  </si>
  <si>
    <t>Closed</t>
  </si>
  <si>
    <t>Typo in login error message</t>
  </si>
  <si>
    <t>BUG-005</t>
  </si>
  <si>
    <t>Payments</t>
  </si>
  <si>
    <t>Production</t>
  </si>
  <si>
    <t>Payment gateway timeout on retry</t>
  </si>
  <si>
    <t>BUG-006</t>
  </si>
  <si>
    <t>Gamma</t>
  </si>
  <si>
    <t>Search</t>
  </si>
  <si>
    <t>Diana</t>
  </si>
  <si>
    <t>Search returns wrong result set</t>
  </si>
  <si>
    <t>BUG-007</t>
  </si>
  <si>
    <t>Report pagination broken on page 3</t>
  </si>
  <si>
    <t>BUG-008</t>
  </si>
  <si>
    <t>Password field asterisks missing</t>
  </si>
  <si>
    <t>BUG-009</t>
  </si>
  <si>
    <t>App crashes on dashboard load</t>
  </si>
  <si>
    <t>BUG-010</t>
  </si>
  <si>
    <t>Double charge on payment retry</t>
  </si>
  <si>
    <t>BUG-011</t>
  </si>
  <si>
    <t>SSO redirect broken after logout</t>
  </si>
  <si>
    <t>BUG-012</t>
  </si>
  <si>
    <t>Minor UI alignment issue in search bar</t>
  </si>
  <si>
    <t>BUG-013</t>
  </si>
  <si>
    <t>Search API returns HTTP 500 error</t>
  </si>
  <si>
    <t>BUG-014</t>
  </si>
  <si>
    <t>Currency conversion rounding error</t>
  </si>
  <si>
    <t>BUG-015</t>
  </si>
  <si>
    <t>Date filter not applying correctly</t>
  </si>
  <si>
    <t>BUG-016</t>
  </si>
  <si>
    <t>Remember me checkbox state bug</t>
  </si>
  <si>
    <t>BUG-017</t>
  </si>
  <si>
    <t>Memory leak on dashboard widget</t>
  </si>
  <si>
    <t>BUG-018</t>
  </si>
  <si>
    <t>Discount code not applied at checkout</t>
  </si>
  <si>
    <t>BUG-019</t>
  </si>
  <si>
    <t>CSV export has encoding issue with UTF-8</t>
  </si>
  <si>
    <t>BUG-020</t>
  </si>
  <si>
    <t>Autocomplete flicker on fast typing</t>
  </si>
  <si>
    <t>LOOKUP FUNCTIONS  |  Source: Dataset sheet  |  Topics: VLOOKUP · HLOOKUP · INDEX · MATCH · OFFSET · INDIRECT</t>
  </si>
  <si>
    <t>A  ›  VLOOKUP — Find a value in the first column, return a value from another column</t>
  </si>
  <si>
    <t>Bug_ID (lookup)</t>
  </si>
  <si>
    <t>B  ›  INDEX + MATCH — More flexible than VLOOKUP; can look left and use any column</t>
  </si>
  <si>
    <t>Tester (INDEX+MATCH)</t>
  </si>
  <si>
    <t>C  ›  OFFSET — Returns a cell/range shifted by rows &amp; cols from a starting point</t>
  </si>
  <si>
    <t>Row_Offset</t>
  </si>
  <si>
    <t>Module (OFFSET)</t>
  </si>
  <si>
    <t>Severity (OFFSET)</t>
  </si>
  <si>
    <t>Hours (OFFSET)</t>
  </si>
  <si>
    <t>Status (OFFSET)</t>
  </si>
  <si>
    <t>D  ›  INDIRECT — Builds a cell reference from a text string (useful for dynamic sheet/range references)</t>
  </si>
  <si>
    <t>Row_Number</t>
  </si>
  <si>
    <t>Module (INDIRECT)</t>
  </si>
  <si>
    <t>Tester (INDIRECT)</t>
  </si>
  <si>
    <t>Hours (INDIRECT)</t>
  </si>
  <si>
    <t>Description (INDIRECT)</t>
  </si>
  <si>
    <t>LOGICAL FUNCTIONS  |  Topics: IF · Nested IF · AND · OR · ISERROR · IFERROR</t>
  </si>
  <si>
    <t>A  ›  IF — Checks a condition; returns one value if TRUE, another if FALSE</t>
  </si>
  <si>
    <t>Priority_Flag</t>
  </si>
  <si>
    <t>Hours</t>
  </si>
  <si>
    <t>Effort_Label</t>
  </si>
  <si>
    <t>Result_Emoji</t>
  </si>
  <si>
    <t>B  ›  AND / OR — Combine multiple conditions inside an IF</t>
  </si>
  <si>
    <t>AND: Critical+Open</t>
  </si>
  <si>
    <t>OR: Critical/High</t>
  </si>
  <si>
    <t>AND: Resolved+Pass</t>
  </si>
  <si>
    <t>Escalate? (nested)</t>
  </si>
  <si>
    <t>DATE / TIME FUNCTIONS  |  Topics: TODAY · NOW · DATE · DATEDIF · NETWORKDAYS · EOMONTH · WEEKNUM</t>
  </si>
  <si>
    <t>A  ›  TODAY · NOW · DATE — Getting and building dates</t>
  </si>
  <si>
    <t>TODAY() = today's date (updates daily).  NOW() = current date+time.  DATE(year,month,day) = build a date from parts.</t>
  </si>
  <si>
    <t>Formula</t>
  </si>
  <si>
    <t>Result</t>
  </si>
  <si>
    <t>Notes</t>
  </si>
  <si>
    <t>Today's date (auto-updates)</t>
  </si>
  <si>
    <t>Current date + time</t>
  </si>
  <si>
    <t>Build date: 15-Mar-2024</t>
  </si>
  <si>
    <t>Current year</t>
  </si>
  <si>
    <t>Current month number</t>
  </si>
  <si>
    <t>Day of today</t>
  </si>
  <si>
    <t>Days elapsed since 1 Jan 2024</t>
  </si>
  <si>
    <t>B  ›  DATEDIF · NETWORKDAYS · EOMONTH · WEEKNUM — Calculating with dates from Bug records</t>
  </si>
  <si>
    <t>Reported</t>
  </si>
  <si>
    <t>Days_Open (DATEDIF)</t>
  </si>
  <si>
    <t>Work_Days (NETWORKDAYS)</t>
  </si>
  <si>
    <t>Month_End (EOMONTH)</t>
  </si>
  <si>
    <t>Week_Num</t>
  </si>
  <si>
    <t>TEXT FUNCTIONS  |  Topics: MID · SEARCH · LEFT · RIGHT · TRIM · CLEAN · UPPER · LOWER · PROPER · SUBSTITUTE · DOLLAR · TEXT</t>
  </si>
  <si>
    <t>A  ›  LEFT · RIGHT · MID · SEARCH — Extract parts of text</t>
  </si>
  <si>
    <t>Bug_ID text</t>
  </si>
  <si>
    <t>LEFT 3</t>
  </si>
  <si>
    <t>RIGHT 3</t>
  </si>
  <si>
    <t>MID (5,3) = num part</t>
  </si>
  <si>
    <t>SEARCH 'BUG'</t>
  </si>
  <si>
    <t>SEARCH '-' pos</t>
  </si>
  <si>
    <t>B  ›  TRIM · CLEAN · UPPER · LOWER · PROPER — Clean and transform text case</t>
  </si>
  <si>
    <t>Raw_Text (messy)</t>
  </si>
  <si>
    <t>TRIM</t>
  </si>
  <si>
    <t>UPPER</t>
  </si>
  <si>
    <t>LOWER</t>
  </si>
  <si>
    <t>PROPER</t>
  </si>
  <si>
    <t>CLEAN</t>
  </si>
  <si>
    <t xml:space="preserve">  critical  BUG  </t>
  </si>
  <si>
    <t>ALPHA   project</t>
  </si>
  <si>
    <t xml:space="preserve">  login MODULE  </t>
  </si>
  <si>
    <t>beta DASHBOARD</t>
  </si>
  <si>
    <t xml:space="preserve">  PAYMENTS  module  </t>
  </si>
  <si>
    <t xml:space="preserve">  gamma search  </t>
  </si>
  <si>
    <t>REPORTS   module</t>
  </si>
  <si>
    <t xml:space="preserve">  QA   environment  </t>
  </si>
  <si>
    <t xml:space="preserve">  staging  BUILD  </t>
  </si>
  <si>
    <t xml:space="preserve">PRODUCTION   env  </t>
  </si>
  <si>
    <t>C  ›  SUBSTITUTE · DOLLAR · TEXT · CONCATENATE — Replace text, format numbers as text, join strings</t>
  </si>
  <si>
    <t>Bug_ID original</t>
  </si>
  <si>
    <t>SUBSTITUTE BUG→DEF</t>
  </si>
  <si>
    <t>DOLLAR format</t>
  </si>
  <si>
    <t>TEXT date</t>
  </si>
  <si>
    <t>CONCAT: ID+Project</t>
  </si>
  <si>
    <t>D  ›  TEXT function — Format any number or date into a specific display string</t>
  </si>
  <si>
    <t>TEXT(value, "format_code")  |  Use to control exactly how a number or date appears as text</t>
  </si>
  <si>
    <t>Value</t>
  </si>
  <si>
    <t>Format Code</t>
  </si>
  <si>
    <t>TEXT Result</t>
  </si>
  <si>
    <t>Use Case</t>
  </si>
  <si>
    <t>"DD-MMM-YYYY"</t>
  </si>
  <si>
    <t>Readable date like 05-Jan-2024</t>
  </si>
  <si>
    <t>"MMMM YYYY"</t>
  </si>
  <si>
    <t>Month and Year like January 2024</t>
  </si>
  <si>
    <t>"DDD"</t>
  </si>
  <si>
    <t>Short day name like Mon</t>
  </si>
  <si>
    <t>"$#,##0.00"</t>
  </si>
  <si>
    <t>Currency: $8.00</t>
  </si>
  <si>
    <t>"0.0%"</t>
  </si>
  <si>
    <t>Percentage: 87.6%</t>
  </si>
  <si>
    <t>"#,##0"</t>
  </si>
  <si>
    <t>Thousands separator: 12,345</t>
  </si>
  <si>
    <t>"YYYY-MM-DD"</t>
  </si>
  <si>
    <t>ISO format: 2024-01-05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</si>
</sst>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m/dd/yy"/>
    <numFmt numFmtId="166" formatCode="mm/dd/yy\ hh:mm\ AM/PM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1F4E79"/>
      <name val="Arial"/>
      <charset val="1"/>
    </font>
    <font>
      <sz val="10"/>
      <color rgb="FF0070C0"/>
      <name val="Arial"/>
      <charset val="1"/>
    </font>
    <font>
      <sz val="10"/>
      <color rgb="FF375623"/>
      <name val="Arial"/>
      <charset val="1"/>
    </font>
    <font>
      <sz val="10"/>
      <color rgb="FF7030A0"/>
      <name val="Arial"/>
      <charset val="1"/>
    </font>
    <font>
      <sz val="10"/>
      <color rgb="FFC55A11"/>
      <name val="Arial"/>
      <charset val="1"/>
    </font>
    <font>
      <sz val="10"/>
      <color rgb="FFC00000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rgb="FFBDD7EE"/>
        <bgColor rgb="FFD6E4F0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5" fontId="12" fillId="3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2" customWidth="1"/>
    <col min="3" max="3" width="14" customWidth="1"/>
    <col min="4" max="5" width="12" customWidth="1"/>
    <col min="6" max="6" width="10" customWidth="1"/>
    <col min="7" max="7" width="12" customWidth="1"/>
    <col min="8" max="9" width="14" customWidth="1"/>
    <col min="10" max="10" width="11" customWidth="1"/>
    <col min="11" max="11" width="12" customWidth="1"/>
    <col min="12" max="12" width="10" customWidth="1"/>
    <col min="13" max="14" width="13" customWidth="1"/>
    <col min="15" max="15" width="36" customWidth="1"/>
  </cols>
  <sheetData>
    <row r="1" spans="1:15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30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45296</v>
      </c>
      <c r="I2" s="5"/>
      <c r="J2" s="7">
        <f t="shared" ref="J2:J21" ca="1" si="0">IFERROR(IF(G2="Open",TODAY()-H2,I2-H2),"—")</f>
        <v>896</v>
      </c>
      <c r="K2" s="5">
        <v>8</v>
      </c>
      <c r="L2" s="5" t="s">
        <v>22</v>
      </c>
      <c r="M2" s="5" t="s">
        <v>23</v>
      </c>
      <c r="N2" s="6">
        <v>45301</v>
      </c>
      <c r="O2" s="8" t="s">
        <v>24</v>
      </c>
    </row>
    <row r="3" spans="1:15" ht="30" customHeight="1" x14ac:dyDescent="0.25">
      <c r="A3" s="9" t="s">
        <v>25</v>
      </c>
      <c r="B3" s="9" t="s">
        <v>16</v>
      </c>
      <c r="C3" s="9" t="s">
        <v>26</v>
      </c>
      <c r="D3" s="9" t="s">
        <v>27</v>
      </c>
      <c r="E3" s="9" t="s">
        <v>20</v>
      </c>
      <c r="F3" s="9" t="s">
        <v>20</v>
      </c>
      <c r="G3" s="9" t="s">
        <v>28</v>
      </c>
      <c r="H3" s="10">
        <v>45297</v>
      </c>
      <c r="I3" s="10">
        <v>45299</v>
      </c>
      <c r="J3" s="11">
        <f t="shared" ca="1" si="0"/>
        <v>2</v>
      </c>
      <c r="K3" s="9">
        <v>5</v>
      </c>
      <c r="L3" s="9" t="s">
        <v>29</v>
      </c>
      <c r="M3" s="9" t="s">
        <v>23</v>
      </c>
      <c r="N3" s="10">
        <v>45300</v>
      </c>
      <c r="O3" s="12" t="s">
        <v>30</v>
      </c>
    </row>
    <row r="4" spans="1:15" ht="30" customHeight="1" x14ac:dyDescent="0.25">
      <c r="A4" s="5" t="s">
        <v>31</v>
      </c>
      <c r="B4" s="5" t="s">
        <v>32</v>
      </c>
      <c r="C4" s="5" t="s">
        <v>33</v>
      </c>
      <c r="D4" s="5" t="s">
        <v>18</v>
      </c>
      <c r="E4" s="5" t="s">
        <v>34</v>
      </c>
      <c r="F4" s="5" t="s">
        <v>34</v>
      </c>
      <c r="G4" s="5" t="s">
        <v>21</v>
      </c>
      <c r="H4" s="6">
        <v>45298</v>
      </c>
      <c r="I4" s="5"/>
      <c r="J4" s="7">
        <f t="shared" ca="1" si="0"/>
        <v>894</v>
      </c>
      <c r="K4" s="5">
        <v>3</v>
      </c>
      <c r="L4" s="5" t="s">
        <v>22</v>
      </c>
      <c r="M4" s="5" t="s">
        <v>35</v>
      </c>
      <c r="N4" s="6">
        <v>45303</v>
      </c>
      <c r="O4" s="8" t="s">
        <v>36</v>
      </c>
    </row>
    <row r="5" spans="1:15" ht="30" customHeight="1" x14ac:dyDescent="0.25">
      <c r="A5" s="9" t="s">
        <v>37</v>
      </c>
      <c r="B5" s="9" t="s">
        <v>32</v>
      </c>
      <c r="C5" s="9" t="s">
        <v>17</v>
      </c>
      <c r="D5" s="9" t="s">
        <v>38</v>
      </c>
      <c r="E5" s="9" t="s">
        <v>39</v>
      </c>
      <c r="F5" s="9" t="s">
        <v>39</v>
      </c>
      <c r="G5" s="9" t="s">
        <v>40</v>
      </c>
      <c r="H5" s="10">
        <v>45299</v>
      </c>
      <c r="I5" s="10">
        <v>45300</v>
      </c>
      <c r="J5" s="11">
        <f t="shared" ca="1" si="0"/>
        <v>1</v>
      </c>
      <c r="K5" s="9">
        <v>2</v>
      </c>
      <c r="L5" s="9" t="s">
        <v>29</v>
      </c>
      <c r="M5" s="9" t="s">
        <v>23</v>
      </c>
      <c r="N5" s="9"/>
      <c r="O5" s="12" t="s">
        <v>41</v>
      </c>
    </row>
    <row r="6" spans="1:15" ht="30" customHeight="1" x14ac:dyDescent="0.25">
      <c r="A6" s="5" t="s">
        <v>42</v>
      </c>
      <c r="B6" s="5" t="s">
        <v>16</v>
      </c>
      <c r="C6" s="5" t="s">
        <v>43</v>
      </c>
      <c r="D6" s="5" t="s">
        <v>27</v>
      </c>
      <c r="E6" s="5" t="s">
        <v>19</v>
      </c>
      <c r="F6" s="5" t="s">
        <v>20</v>
      </c>
      <c r="G6" s="5" t="s">
        <v>28</v>
      </c>
      <c r="H6" s="6">
        <v>45300</v>
      </c>
      <c r="I6" s="6">
        <v>45302</v>
      </c>
      <c r="J6" s="7">
        <f t="shared" ca="1" si="0"/>
        <v>2</v>
      </c>
      <c r="K6" s="5">
        <v>10</v>
      </c>
      <c r="L6" s="5" t="s">
        <v>29</v>
      </c>
      <c r="M6" s="5" t="s">
        <v>44</v>
      </c>
      <c r="N6" s="6">
        <v>45303</v>
      </c>
      <c r="O6" s="8" t="s">
        <v>45</v>
      </c>
    </row>
    <row r="7" spans="1:15" ht="30" customHeight="1" x14ac:dyDescent="0.25">
      <c r="A7" s="9" t="s">
        <v>46</v>
      </c>
      <c r="B7" s="9" t="s">
        <v>47</v>
      </c>
      <c r="C7" s="9" t="s">
        <v>48</v>
      </c>
      <c r="D7" s="9" t="s">
        <v>49</v>
      </c>
      <c r="E7" s="9" t="s">
        <v>20</v>
      </c>
      <c r="F7" s="9" t="s">
        <v>34</v>
      </c>
      <c r="G7" s="9" t="s">
        <v>21</v>
      </c>
      <c r="H7" s="10">
        <v>45301</v>
      </c>
      <c r="I7" s="9"/>
      <c r="J7" s="11">
        <f t="shared" ca="1" si="0"/>
        <v>891</v>
      </c>
      <c r="K7" s="9">
        <v>4</v>
      </c>
      <c r="L7" s="9" t="s">
        <v>22</v>
      </c>
      <c r="M7" s="9" t="s">
        <v>23</v>
      </c>
      <c r="N7" s="10">
        <v>45306</v>
      </c>
      <c r="O7" s="12" t="s">
        <v>50</v>
      </c>
    </row>
    <row r="8" spans="1:15" ht="30" customHeight="1" x14ac:dyDescent="0.25">
      <c r="A8" s="5" t="s">
        <v>51</v>
      </c>
      <c r="B8" s="5" t="s">
        <v>47</v>
      </c>
      <c r="C8" s="5" t="s">
        <v>33</v>
      </c>
      <c r="D8" s="5" t="s">
        <v>38</v>
      </c>
      <c r="E8" s="5" t="s">
        <v>34</v>
      </c>
      <c r="F8" s="5" t="s">
        <v>39</v>
      </c>
      <c r="G8" s="5" t="s">
        <v>40</v>
      </c>
      <c r="H8" s="6">
        <v>45302</v>
      </c>
      <c r="I8" s="6">
        <v>45304</v>
      </c>
      <c r="J8" s="7">
        <f t="shared" ca="1" si="0"/>
        <v>2</v>
      </c>
      <c r="K8" s="5">
        <v>3</v>
      </c>
      <c r="L8" s="5" t="s">
        <v>29</v>
      </c>
      <c r="M8" s="5" t="s">
        <v>35</v>
      </c>
      <c r="N8" s="5"/>
      <c r="O8" s="8" t="s">
        <v>52</v>
      </c>
    </row>
    <row r="9" spans="1:15" ht="30" customHeight="1" x14ac:dyDescent="0.25">
      <c r="A9" s="9" t="s">
        <v>53</v>
      </c>
      <c r="B9" s="9" t="s">
        <v>16</v>
      </c>
      <c r="C9" s="9" t="s">
        <v>17</v>
      </c>
      <c r="D9" s="9" t="s">
        <v>18</v>
      </c>
      <c r="E9" s="9" t="s">
        <v>39</v>
      </c>
      <c r="F9" s="9" t="s">
        <v>39</v>
      </c>
      <c r="G9" s="9" t="s">
        <v>28</v>
      </c>
      <c r="H9" s="10">
        <v>45303</v>
      </c>
      <c r="I9" s="10">
        <v>45305</v>
      </c>
      <c r="J9" s="11">
        <f t="shared" ca="1" si="0"/>
        <v>2</v>
      </c>
      <c r="K9" s="9">
        <v>2</v>
      </c>
      <c r="L9" s="9" t="s">
        <v>29</v>
      </c>
      <c r="M9" s="9" t="s">
        <v>23</v>
      </c>
      <c r="N9" s="10">
        <v>45306</v>
      </c>
      <c r="O9" s="12" t="s">
        <v>54</v>
      </c>
    </row>
    <row r="10" spans="1:15" ht="30" customHeight="1" x14ac:dyDescent="0.25">
      <c r="A10" s="5" t="s">
        <v>55</v>
      </c>
      <c r="B10" s="5" t="s">
        <v>32</v>
      </c>
      <c r="C10" s="5" t="s">
        <v>26</v>
      </c>
      <c r="D10" s="5" t="s">
        <v>27</v>
      </c>
      <c r="E10" s="5" t="s">
        <v>19</v>
      </c>
      <c r="F10" s="5" t="s">
        <v>20</v>
      </c>
      <c r="G10" s="5" t="s">
        <v>21</v>
      </c>
      <c r="H10" s="6">
        <v>45304</v>
      </c>
      <c r="I10" s="5"/>
      <c r="J10" s="7">
        <f t="shared" ca="1" si="0"/>
        <v>888</v>
      </c>
      <c r="K10" s="5">
        <v>7</v>
      </c>
      <c r="L10" s="5" t="s">
        <v>22</v>
      </c>
      <c r="M10" s="5" t="s">
        <v>44</v>
      </c>
      <c r="N10" s="6">
        <v>45309</v>
      </c>
      <c r="O10" s="8" t="s">
        <v>56</v>
      </c>
    </row>
    <row r="11" spans="1:15" ht="30" customHeight="1" x14ac:dyDescent="0.25">
      <c r="A11" s="9" t="s">
        <v>57</v>
      </c>
      <c r="B11" s="9" t="s">
        <v>32</v>
      </c>
      <c r="C11" s="9" t="s">
        <v>43</v>
      </c>
      <c r="D11" s="9" t="s">
        <v>49</v>
      </c>
      <c r="E11" s="9" t="s">
        <v>20</v>
      </c>
      <c r="F11" s="9" t="s">
        <v>20</v>
      </c>
      <c r="G11" s="9" t="s">
        <v>28</v>
      </c>
      <c r="H11" s="10">
        <v>45305</v>
      </c>
      <c r="I11" s="10">
        <v>45307</v>
      </c>
      <c r="J11" s="11">
        <f t="shared" ca="1" si="0"/>
        <v>2</v>
      </c>
      <c r="K11" s="9">
        <v>6</v>
      </c>
      <c r="L11" s="9" t="s">
        <v>29</v>
      </c>
      <c r="M11" s="9" t="s">
        <v>23</v>
      </c>
      <c r="N11" s="10">
        <v>45308</v>
      </c>
      <c r="O11" s="12" t="s">
        <v>58</v>
      </c>
    </row>
    <row r="12" spans="1:15" ht="30" customHeight="1" x14ac:dyDescent="0.25">
      <c r="A12" s="5" t="s">
        <v>59</v>
      </c>
      <c r="B12" s="5" t="s">
        <v>47</v>
      </c>
      <c r="C12" s="5" t="s">
        <v>17</v>
      </c>
      <c r="D12" s="5" t="s">
        <v>18</v>
      </c>
      <c r="E12" s="5" t="s">
        <v>34</v>
      </c>
      <c r="F12" s="5" t="s">
        <v>34</v>
      </c>
      <c r="G12" s="5" t="s">
        <v>21</v>
      </c>
      <c r="H12" s="6">
        <v>45306</v>
      </c>
      <c r="I12" s="5"/>
      <c r="J12" s="7">
        <f t="shared" ca="1" si="0"/>
        <v>886</v>
      </c>
      <c r="K12" s="5">
        <v>3</v>
      </c>
      <c r="L12" s="5" t="s">
        <v>22</v>
      </c>
      <c r="M12" s="5" t="s">
        <v>35</v>
      </c>
      <c r="N12" s="6">
        <v>45311</v>
      </c>
      <c r="O12" s="8" t="s">
        <v>60</v>
      </c>
    </row>
    <row r="13" spans="1:15" ht="30" customHeight="1" x14ac:dyDescent="0.25">
      <c r="A13" s="9" t="s">
        <v>61</v>
      </c>
      <c r="B13" s="9" t="s">
        <v>16</v>
      </c>
      <c r="C13" s="9" t="s">
        <v>48</v>
      </c>
      <c r="D13" s="9" t="s">
        <v>38</v>
      </c>
      <c r="E13" s="9" t="s">
        <v>39</v>
      </c>
      <c r="F13" s="9" t="s">
        <v>39</v>
      </c>
      <c r="G13" s="9" t="s">
        <v>40</v>
      </c>
      <c r="H13" s="10">
        <v>45307</v>
      </c>
      <c r="I13" s="10">
        <v>45308</v>
      </c>
      <c r="J13" s="11">
        <f t="shared" ca="1" si="0"/>
        <v>1</v>
      </c>
      <c r="K13" s="9">
        <v>1</v>
      </c>
      <c r="L13" s="9" t="s">
        <v>29</v>
      </c>
      <c r="M13" s="9" t="s">
        <v>23</v>
      </c>
      <c r="N13" s="9"/>
      <c r="O13" s="12" t="s">
        <v>62</v>
      </c>
    </row>
    <row r="14" spans="1:15" ht="30" customHeight="1" x14ac:dyDescent="0.25">
      <c r="A14" s="5" t="s">
        <v>63</v>
      </c>
      <c r="B14" s="5" t="s">
        <v>32</v>
      </c>
      <c r="C14" s="5" t="s">
        <v>48</v>
      </c>
      <c r="D14" s="5" t="s">
        <v>27</v>
      </c>
      <c r="E14" s="5" t="s">
        <v>19</v>
      </c>
      <c r="F14" s="5" t="s">
        <v>20</v>
      </c>
      <c r="G14" s="5" t="s">
        <v>28</v>
      </c>
      <c r="H14" s="6">
        <v>45308</v>
      </c>
      <c r="I14" s="6">
        <v>45310</v>
      </c>
      <c r="J14" s="7">
        <f t="shared" ca="1" si="0"/>
        <v>2</v>
      </c>
      <c r="K14" s="5">
        <v>9</v>
      </c>
      <c r="L14" s="5" t="s">
        <v>29</v>
      </c>
      <c r="M14" s="5" t="s">
        <v>44</v>
      </c>
      <c r="N14" s="6">
        <v>45311</v>
      </c>
      <c r="O14" s="8" t="s">
        <v>64</v>
      </c>
    </row>
    <row r="15" spans="1:15" ht="30" customHeight="1" x14ac:dyDescent="0.25">
      <c r="A15" s="9" t="s">
        <v>65</v>
      </c>
      <c r="B15" s="9" t="s">
        <v>47</v>
      </c>
      <c r="C15" s="9" t="s">
        <v>43</v>
      </c>
      <c r="D15" s="9" t="s">
        <v>49</v>
      </c>
      <c r="E15" s="9" t="s">
        <v>20</v>
      </c>
      <c r="F15" s="9" t="s">
        <v>34</v>
      </c>
      <c r="G15" s="9" t="s">
        <v>21</v>
      </c>
      <c r="H15" s="10">
        <v>45309</v>
      </c>
      <c r="I15" s="9"/>
      <c r="J15" s="11">
        <f t="shared" ca="1" si="0"/>
        <v>883</v>
      </c>
      <c r="K15" s="9">
        <v>5</v>
      </c>
      <c r="L15" s="9" t="s">
        <v>22</v>
      </c>
      <c r="M15" s="9" t="s">
        <v>23</v>
      </c>
      <c r="N15" s="10">
        <v>45314</v>
      </c>
      <c r="O15" s="12" t="s">
        <v>66</v>
      </c>
    </row>
    <row r="16" spans="1:15" ht="30" customHeight="1" x14ac:dyDescent="0.25">
      <c r="A16" s="5" t="s">
        <v>67</v>
      </c>
      <c r="B16" s="5" t="s">
        <v>16</v>
      </c>
      <c r="C16" s="5" t="s">
        <v>33</v>
      </c>
      <c r="D16" s="5" t="s">
        <v>18</v>
      </c>
      <c r="E16" s="5" t="s">
        <v>34</v>
      </c>
      <c r="F16" s="5" t="s">
        <v>39</v>
      </c>
      <c r="G16" s="5" t="s">
        <v>40</v>
      </c>
      <c r="H16" s="6">
        <v>45310</v>
      </c>
      <c r="I16" s="6">
        <v>45312</v>
      </c>
      <c r="J16" s="7">
        <f t="shared" ca="1" si="0"/>
        <v>2</v>
      </c>
      <c r="K16" s="5">
        <v>4</v>
      </c>
      <c r="L16" s="5" t="s">
        <v>29</v>
      </c>
      <c r="M16" s="5" t="s">
        <v>35</v>
      </c>
      <c r="N16" s="5"/>
      <c r="O16" s="8" t="s">
        <v>68</v>
      </c>
    </row>
    <row r="17" spans="1:15" ht="30" customHeight="1" x14ac:dyDescent="0.25">
      <c r="A17" s="9" t="s">
        <v>69</v>
      </c>
      <c r="B17" s="9" t="s">
        <v>32</v>
      </c>
      <c r="C17" s="9" t="s">
        <v>17</v>
      </c>
      <c r="D17" s="9" t="s">
        <v>38</v>
      </c>
      <c r="E17" s="9" t="s">
        <v>39</v>
      </c>
      <c r="F17" s="9" t="s">
        <v>39</v>
      </c>
      <c r="G17" s="9" t="s">
        <v>28</v>
      </c>
      <c r="H17" s="10">
        <v>45311</v>
      </c>
      <c r="I17" s="10">
        <v>45313</v>
      </c>
      <c r="J17" s="11">
        <f t="shared" ca="1" si="0"/>
        <v>2</v>
      </c>
      <c r="K17" s="9">
        <v>2</v>
      </c>
      <c r="L17" s="9" t="s">
        <v>29</v>
      </c>
      <c r="M17" s="9" t="s">
        <v>23</v>
      </c>
      <c r="N17" s="10">
        <v>45314</v>
      </c>
      <c r="O17" s="12" t="s">
        <v>70</v>
      </c>
    </row>
    <row r="18" spans="1:15" ht="30" customHeight="1" x14ac:dyDescent="0.25">
      <c r="A18" s="5" t="s">
        <v>71</v>
      </c>
      <c r="B18" s="5" t="s">
        <v>47</v>
      </c>
      <c r="C18" s="5" t="s">
        <v>26</v>
      </c>
      <c r="D18" s="5" t="s">
        <v>27</v>
      </c>
      <c r="E18" s="5" t="s">
        <v>19</v>
      </c>
      <c r="F18" s="5" t="s">
        <v>20</v>
      </c>
      <c r="G18" s="5" t="s">
        <v>21</v>
      </c>
      <c r="H18" s="6">
        <v>45312</v>
      </c>
      <c r="I18" s="5"/>
      <c r="J18" s="7">
        <f t="shared" ca="1" si="0"/>
        <v>880</v>
      </c>
      <c r="K18" s="5">
        <v>8</v>
      </c>
      <c r="L18" s="5" t="s">
        <v>22</v>
      </c>
      <c r="M18" s="5" t="s">
        <v>44</v>
      </c>
      <c r="N18" s="6">
        <v>45317</v>
      </c>
      <c r="O18" s="8" t="s">
        <v>72</v>
      </c>
    </row>
    <row r="19" spans="1:15" ht="30" customHeight="1" x14ac:dyDescent="0.25">
      <c r="A19" s="9" t="s">
        <v>73</v>
      </c>
      <c r="B19" s="9" t="s">
        <v>16</v>
      </c>
      <c r="C19" s="9" t="s">
        <v>43</v>
      </c>
      <c r="D19" s="9" t="s">
        <v>49</v>
      </c>
      <c r="E19" s="9" t="s">
        <v>20</v>
      </c>
      <c r="F19" s="9" t="s">
        <v>20</v>
      </c>
      <c r="G19" s="9" t="s">
        <v>28</v>
      </c>
      <c r="H19" s="10">
        <v>45313</v>
      </c>
      <c r="I19" s="10">
        <v>45315</v>
      </c>
      <c r="J19" s="11">
        <f t="shared" ca="1" si="0"/>
        <v>2</v>
      </c>
      <c r="K19" s="9">
        <v>7</v>
      </c>
      <c r="L19" s="9" t="s">
        <v>29</v>
      </c>
      <c r="M19" s="9" t="s">
        <v>23</v>
      </c>
      <c r="N19" s="10">
        <v>45316</v>
      </c>
      <c r="O19" s="12" t="s">
        <v>74</v>
      </c>
    </row>
    <row r="20" spans="1:15" ht="30" customHeight="1" x14ac:dyDescent="0.25">
      <c r="A20" s="5" t="s">
        <v>75</v>
      </c>
      <c r="B20" s="5" t="s">
        <v>32</v>
      </c>
      <c r="C20" s="5" t="s">
        <v>33</v>
      </c>
      <c r="D20" s="5" t="s">
        <v>18</v>
      </c>
      <c r="E20" s="5" t="s">
        <v>34</v>
      </c>
      <c r="F20" s="5" t="s">
        <v>34</v>
      </c>
      <c r="G20" s="5" t="s">
        <v>21</v>
      </c>
      <c r="H20" s="6">
        <v>45314</v>
      </c>
      <c r="I20" s="5"/>
      <c r="J20" s="7">
        <f t="shared" ca="1" si="0"/>
        <v>878</v>
      </c>
      <c r="K20" s="5">
        <v>3</v>
      </c>
      <c r="L20" s="5" t="s">
        <v>22</v>
      </c>
      <c r="M20" s="5" t="s">
        <v>35</v>
      </c>
      <c r="N20" s="6">
        <v>45319</v>
      </c>
      <c r="O20" s="8" t="s">
        <v>76</v>
      </c>
    </row>
    <row r="21" spans="1:15" ht="30" customHeight="1" x14ac:dyDescent="0.25">
      <c r="A21" s="9" t="s">
        <v>77</v>
      </c>
      <c r="B21" s="9" t="s">
        <v>47</v>
      </c>
      <c r="C21" s="9" t="s">
        <v>48</v>
      </c>
      <c r="D21" s="9" t="s">
        <v>38</v>
      </c>
      <c r="E21" s="9" t="s">
        <v>39</v>
      </c>
      <c r="F21" s="9" t="s">
        <v>39</v>
      </c>
      <c r="G21" s="9" t="s">
        <v>40</v>
      </c>
      <c r="H21" s="10">
        <v>45315</v>
      </c>
      <c r="I21" s="10">
        <v>45316</v>
      </c>
      <c r="J21" s="11">
        <f t="shared" ca="1" si="0"/>
        <v>1</v>
      </c>
      <c r="K21" s="9">
        <v>1</v>
      </c>
      <c r="L21" s="9" t="s">
        <v>29</v>
      </c>
      <c r="M21" s="9" t="s">
        <v>23</v>
      </c>
      <c r="N21" s="9"/>
      <c r="O21" s="12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zoomScaleNormal="100" workbookViewId="0">
      <pane ySplit="2" topLeftCell="A3" activePane="bottomLeft" state="frozen"/>
      <selection pane="bottomLeft" activeCell="F11" sqref="F11"/>
    </sheetView>
  </sheetViews>
  <sheetFormatPr defaultColWidth="8.7109375" defaultRowHeight="15" x14ac:dyDescent="0.25"/>
  <cols>
    <col min="1" max="1" width="14" customWidth="1"/>
    <col min="2" max="2" width="15.140625" customWidth="1"/>
    <col min="3" max="3" width="16" customWidth="1"/>
    <col min="4" max="5" width="14" customWidth="1"/>
    <col min="6" max="6" width="36" customWidth="1"/>
    <col min="7" max="7" width="14" customWidth="1"/>
    <col min="8" max="8" width="12" customWidth="1"/>
  </cols>
  <sheetData>
    <row r="1" spans="1:12" ht="27.75" customHeight="1" x14ac:dyDescent="0.25">
      <c r="A1" s="3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.75" customHeight="1" x14ac:dyDescent="0.25">
      <c r="A2" s="2" t="s">
        <v>80</v>
      </c>
      <c r="B2" s="2"/>
      <c r="C2" s="2"/>
      <c r="D2" s="2"/>
      <c r="E2" s="2"/>
      <c r="F2" s="2"/>
    </row>
    <row r="3" spans="1:12" ht="26.25" customHeight="1" x14ac:dyDescent="0.25">
      <c r="A3" s="4" t="s">
        <v>81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6</v>
      </c>
    </row>
    <row r="4" spans="1:12" x14ac:dyDescent="0.25">
      <c r="A4" s="5" t="s">
        <v>15</v>
      </c>
      <c r="B4" s="13" t="str">
        <f>VLOOKUP(A4,Dataset!$A:$O,2,0)</f>
        <v>Alpha</v>
      </c>
      <c r="C4" s="13" t="str">
        <f>VLOOKUP(A4,Dataset!$A:$O,3,0)</f>
        <v>Login</v>
      </c>
      <c r="D4" s="13" t="str">
        <f>VLOOKUP(A4,Dataset!$A:$O,4,0)</f>
        <v>Alice</v>
      </c>
      <c r="E4" s="13" t="str">
        <f>VLOOKUP(A4,Dataset!$A:$O,5,0)</f>
        <v>Critical</v>
      </c>
      <c r="F4" s="13" t="str">
        <f>VLOOKUP(A4,Dataset!$A:$O,6,0)</f>
        <v>High</v>
      </c>
    </row>
    <row r="5" spans="1:12" x14ac:dyDescent="0.25">
      <c r="A5" s="9" t="s">
        <v>25</v>
      </c>
      <c r="B5" s="14" t="str">
        <f>VLOOKUP(A5,Dataset!$A:$O,2,0)</f>
        <v>Alpha</v>
      </c>
      <c r="C5" s="14" t="str">
        <f>VLOOKUP(A5,Dataset!$A:$O,3,0)</f>
        <v>Dashboard</v>
      </c>
      <c r="D5" s="14" t="str">
        <f>VLOOKUP(A5,Dataset!$A:$O,4,0)</f>
        <v>Bob</v>
      </c>
      <c r="E5" s="14" t="str">
        <f>VLOOKUP(A5,Dataset!$A:$O,5,0)</f>
        <v>High</v>
      </c>
      <c r="F5" s="13" t="str">
        <f>VLOOKUP(A5,Dataset!$A:$O,6,0)</f>
        <v>High</v>
      </c>
    </row>
    <row r="6" spans="1:12" x14ac:dyDescent="0.25">
      <c r="A6" s="5" t="s">
        <v>31</v>
      </c>
      <c r="B6" s="13" t="str">
        <f>VLOOKUP(A6,Dataset!$A:$O,2,0)</f>
        <v>Beta</v>
      </c>
      <c r="C6" s="13" t="str">
        <f>VLOOKUP(A6,Dataset!$A:$O,3,0)</f>
        <v>Reports</v>
      </c>
      <c r="D6" s="13" t="str">
        <f>VLOOKUP(A6,Dataset!$A:$O,4,0)</f>
        <v>Alice</v>
      </c>
      <c r="E6" s="13" t="str">
        <f>VLOOKUP(A6,Dataset!$A:$O,5,0)</f>
        <v>Medium</v>
      </c>
      <c r="F6" s="13" t="str">
        <f>VLOOKUP(A6,Dataset!$A:$O,6,0)</f>
        <v>Medium</v>
      </c>
    </row>
    <row r="7" spans="1:12" x14ac:dyDescent="0.25">
      <c r="A7" s="9" t="s">
        <v>37</v>
      </c>
      <c r="B7" s="14" t="str">
        <f>VLOOKUP(A7,Dataset!$A:$O,2,0)</f>
        <v>Beta</v>
      </c>
      <c r="C7" s="14" t="str">
        <f>VLOOKUP(A7,Dataset!$A:$O,3,0)</f>
        <v>Login</v>
      </c>
      <c r="D7" s="14" t="str">
        <f>VLOOKUP(A7,Dataset!$A:$O,4,0)</f>
        <v>Charlie</v>
      </c>
      <c r="E7" s="14" t="str">
        <f>VLOOKUP(A7,Dataset!$A:$O,5,0)</f>
        <v>Low</v>
      </c>
      <c r="F7" s="13" t="str">
        <f>VLOOKUP(A7,Dataset!$A:$O,6,0)</f>
        <v>Low</v>
      </c>
    </row>
    <row r="8" spans="1:12" x14ac:dyDescent="0.25">
      <c r="A8" s="5" t="s">
        <v>42</v>
      </c>
      <c r="B8" s="13" t="str">
        <f>VLOOKUP(A8,Dataset!$A:$O,2,0)</f>
        <v>Alpha</v>
      </c>
      <c r="C8" s="13" t="str">
        <f>VLOOKUP(A8,Dataset!$A:$O,3,0)</f>
        <v>Payments</v>
      </c>
      <c r="D8" s="13" t="str">
        <f>VLOOKUP(A8,Dataset!$A:$O,4,0)</f>
        <v>Bob</v>
      </c>
      <c r="E8" s="13" t="str">
        <f>VLOOKUP(A8,Dataset!$A:$O,5,0)</f>
        <v>Critical</v>
      </c>
      <c r="F8" s="13" t="str">
        <f>VLOOKUP(A8,Dataset!$A:$O,6,0)</f>
        <v>High</v>
      </c>
    </row>
    <row r="9" spans="1:12" x14ac:dyDescent="0.25">
      <c r="A9" s="9" t="s">
        <v>46</v>
      </c>
      <c r="B9" s="14" t="str">
        <f>VLOOKUP(A9,Dataset!$A:$O,2,0)</f>
        <v>Gamma</v>
      </c>
      <c r="C9" s="14" t="str">
        <f>VLOOKUP(A9,Dataset!$A:$O,3,0)</f>
        <v>Search</v>
      </c>
      <c r="D9" s="14" t="str">
        <f>VLOOKUP(A9,Dataset!$A:$O,4,0)</f>
        <v>Diana</v>
      </c>
      <c r="E9" s="14" t="str">
        <f>VLOOKUP(A9,Dataset!$A:$O,5,0)</f>
        <v>High</v>
      </c>
      <c r="F9" s="13" t="str">
        <f>VLOOKUP(A9,Dataset!$A:$O,6,0)</f>
        <v>Medium</v>
      </c>
    </row>
    <row r="10" spans="1:12" x14ac:dyDescent="0.25">
      <c r="A10" s="5" t="s">
        <v>51</v>
      </c>
      <c r="B10" s="13" t="str">
        <f>VLOOKUP(A10,Dataset!$A:$O,2,0)</f>
        <v>Gamma</v>
      </c>
      <c r="C10" s="13" t="str">
        <f>VLOOKUP(A10,Dataset!$A:$O,3,0)</f>
        <v>Reports</v>
      </c>
      <c r="D10" s="13" t="str">
        <f>VLOOKUP(A10,Dataset!$A:$O,4,0)</f>
        <v>Charlie</v>
      </c>
      <c r="E10" s="13" t="str">
        <f>VLOOKUP(A10,Dataset!$A:$O,5,0)</f>
        <v>Medium</v>
      </c>
      <c r="F10" s="13" t="str">
        <f>VLOOKUP(A10,Dataset!$A:$O,6,0)</f>
        <v>Low</v>
      </c>
    </row>
    <row r="11" spans="1:12" x14ac:dyDescent="0.25">
      <c r="A11" s="9" t="s">
        <v>53</v>
      </c>
      <c r="B11" s="14" t="str">
        <f>VLOOKUP(A11,Dataset!$A:$O,2,0)</f>
        <v>Alpha</v>
      </c>
      <c r="C11" s="14" t="str">
        <f>VLOOKUP(A11,Dataset!$A:$O,3,0)</f>
        <v>Login</v>
      </c>
      <c r="D11" s="14" t="str">
        <f>VLOOKUP(A11,Dataset!$A:$O,4,0)</f>
        <v>Alice</v>
      </c>
      <c r="E11" s="14" t="str">
        <f>VLOOKUP(A11,Dataset!$A:$O,5,0)</f>
        <v>Low</v>
      </c>
      <c r="F11" s="13" t="str">
        <f>VLOOKUP(A11,Dataset!$A:$O,6,0)</f>
        <v>Low</v>
      </c>
    </row>
    <row r="12" spans="1:12" x14ac:dyDescent="0.25">
      <c r="A12" s="5" t="s">
        <v>55</v>
      </c>
      <c r="B12" s="13" t="str">
        <f>VLOOKUP(A12,Dataset!$A:$O,2,0)</f>
        <v>Beta</v>
      </c>
      <c r="C12" s="13" t="str">
        <f>VLOOKUP(A12,Dataset!$A:$O,3,0)</f>
        <v>Dashboard</v>
      </c>
      <c r="D12" s="13" t="str">
        <f>VLOOKUP(A12,Dataset!$A:$O,4,0)</f>
        <v>Bob</v>
      </c>
      <c r="E12" s="13" t="str">
        <f>VLOOKUP(A12,Dataset!$A:$O,5,0)</f>
        <v>Critical</v>
      </c>
      <c r="F12" s="13" t="str">
        <f>VLOOKUP(A12,Dataset!$A:$O,6,0)</f>
        <v>High</v>
      </c>
    </row>
    <row r="13" spans="1:12" x14ac:dyDescent="0.25">
      <c r="A13" s="9" t="s">
        <v>57</v>
      </c>
      <c r="B13" s="14" t="str">
        <f>VLOOKUP(A13,Dataset!$A:$O,2,0)</f>
        <v>Beta</v>
      </c>
      <c r="C13" s="14" t="str">
        <f>VLOOKUP(A13,Dataset!$A:$O,3,0)</f>
        <v>Payments</v>
      </c>
      <c r="D13" s="14" t="str">
        <f>VLOOKUP(A13,Dataset!$A:$O,4,0)</f>
        <v>Diana</v>
      </c>
      <c r="E13" s="14" t="str">
        <f>VLOOKUP(A13,Dataset!$A:$O,5,0)</f>
        <v>High</v>
      </c>
      <c r="F13" s="13" t="str">
        <f>VLOOKUP(A13,Dataset!$A:$O,6,0)</f>
        <v>High</v>
      </c>
    </row>
    <row r="14" spans="1:12" x14ac:dyDescent="0.25">
      <c r="A14" s="5" t="s">
        <v>59</v>
      </c>
      <c r="B14" s="13" t="str">
        <f>VLOOKUP(A14,Dataset!$A:$O,2,0)</f>
        <v>Gamma</v>
      </c>
      <c r="C14" s="13" t="str">
        <f>VLOOKUP(A14,Dataset!$A:$O,3,0)</f>
        <v>Login</v>
      </c>
      <c r="D14" s="13" t="str">
        <f>VLOOKUP(A14,Dataset!$A:$O,4,0)</f>
        <v>Alice</v>
      </c>
      <c r="E14" s="13" t="str">
        <f>VLOOKUP(A14,Dataset!$A:$O,5,0)</f>
        <v>Medium</v>
      </c>
      <c r="F14" s="13" t="str">
        <f>VLOOKUP(A14,Dataset!$A:$O,6,0)</f>
        <v>Medium</v>
      </c>
    </row>
    <row r="15" spans="1:12" x14ac:dyDescent="0.25">
      <c r="A15" s="9" t="s">
        <v>61</v>
      </c>
      <c r="B15" s="14" t="str">
        <f>VLOOKUP(A15,Dataset!$A:$O,2,0)</f>
        <v>Alpha</v>
      </c>
      <c r="C15" s="14" t="str">
        <f>VLOOKUP(A15,Dataset!$A:$O,3,0)</f>
        <v>Search</v>
      </c>
      <c r="D15" s="14" t="str">
        <f>VLOOKUP(A15,Dataset!$A:$O,4,0)</f>
        <v>Charlie</v>
      </c>
      <c r="E15" s="14" t="str">
        <f>VLOOKUP(A15,Dataset!$A:$O,5,0)</f>
        <v>Low</v>
      </c>
      <c r="F15" s="13" t="str">
        <f>VLOOKUP(A15,Dataset!$A:$O,6,0)</f>
        <v>Low</v>
      </c>
    </row>
    <row r="16" spans="1:12" x14ac:dyDescent="0.25">
      <c r="A16" s="5" t="s">
        <v>63</v>
      </c>
      <c r="B16" s="13" t="str">
        <f>VLOOKUP(A16,Dataset!$A:$O,2,0)</f>
        <v>Beta</v>
      </c>
      <c r="C16" s="13" t="str">
        <f>VLOOKUP(A16,Dataset!$A:$O,3,0)</f>
        <v>Search</v>
      </c>
      <c r="D16" s="13" t="str">
        <f>VLOOKUP(A16,Dataset!$A:$O,4,0)</f>
        <v>Bob</v>
      </c>
      <c r="E16" s="13" t="str">
        <f>VLOOKUP(A16,Dataset!$A:$O,5,0)</f>
        <v>Critical</v>
      </c>
      <c r="F16" s="13" t="str">
        <f>VLOOKUP(A16,Dataset!$A:$O,6,0)</f>
        <v>High</v>
      </c>
    </row>
    <row r="17" spans="1:8" x14ac:dyDescent="0.25">
      <c r="A17" s="9" t="s">
        <v>65</v>
      </c>
      <c r="B17" s="14" t="str">
        <f>VLOOKUP(A17,Dataset!$A:$O,2,0)</f>
        <v>Gamma</v>
      </c>
      <c r="C17" s="14" t="str">
        <f>VLOOKUP(A17,Dataset!$A:$O,3,0)</f>
        <v>Payments</v>
      </c>
      <c r="D17" s="14" t="str">
        <f>VLOOKUP(A17,Dataset!$A:$O,4,0)</f>
        <v>Diana</v>
      </c>
      <c r="E17" s="14" t="str">
        <f>VLOOKUP(A17,Dataset!$A:$O,5,0)</f>
        <v>High</v>
      </c>
      <c r="F17" s="13" t="str">
        <f>VLOOKUP(A17,Dataset!$A:$O,6,0)</f>
        <v>Medium</v>
      </c>
    </row>
    <row r="18" spans="1:8" x14ac:dyDescent="0.25">
      <c r="A18" s="5" t="s">
        <v>67</v>
      </c>
      <c r="B18" s="13" t="str">
        <f>VLOOKUP(A18,Dataset!$A:$O,2,0)</f>
        <v>Alpha</v>
      </c>
      <c r="C18" s="13" t="str">
        <f>VLOOKUP(A18,Dataset!$A:$O,3,0)</f>
        <v>Reports</v>
      </c>
      <c r="D18" s="13" t="str">
        <f>VLOOKUP(A18,Dataset!$A:$O,4,0)</f>
        <v>Alice</v>
      </c>
      <c r="E18" s="13" t="str">
        <f>VLOOKUP(A18,Dataset!$A:$O,5,0)</f>
        <v>Medium</v>
      </c>
      <c r="F18" s="13" t="str">
        <f>VLOOKUP(A18,Dataset!$A:$O,6,0)</f>
        <v>Low</v>
      </c>
    </row>
    <row r="19" spans="1:8" x14ac:dyDescent="0.25">
      <c r="A19" s="9" t="s">
        <v>69</v>
      </c>
      <c r="B19" s="14" t="str">
        <f>VLOOKUP(A19,Dataset!$A:$O,2,0)</f>
        <v>Beta</v>
      </c>
      <c r="C19" s="14" t="str">
        <f>VLOOKUP(A19,Dataset!$A:$O,3,0)</f>
        <v>Login</v>
      </c>
      <c r="D19" s="14" t="str">
        <f>VLOOKUP(A19,Dataset!$A:$O,4,0)</f>
        <v>Charlie</v>
      </c>
      <c r="E19" s="14" t="str">
        <f>VLOOKUP(A19,Dataset!$A:$O,5,0)</f>
        <v>Low</v>
      </c>
      <c r="F19" s="13" t="str">
        <f>VLOOKUP(A19,Dataset!$A:$O,6,0)</f>
        <v>Low</v>
      </c>
    </row>
    <row r="20" spans="1:8" x14ac:dyDescent="0.25">
      <c r="A20" s="5" t="s">
        <v>71</v>
      </c>
      <c r="B20" s="13" t="str">
        <f>VLOOKUP(A20,Dataset!$A:$O,2,0)</f>
        <v>Gamma</v>
      </c>
      <c r="C20" s="13" t="str">
        <f>VLOOKUP(A20,Dataset!$A:$O,3,0)</f>
        <v>Dashboard</v>
      </c>
      <c r="D20" s="13" t="str">
        <f>VLOOKUP(A20,Dataset!$A:$O,4,0)</f>
        <v>Bob</v>
      </c>
      <c r="E20" s="13" t="str">
        <f>VLOOKUP(A20,Dataset!$A:$O,5,0)</f>
        <v>Critical</v>
      </c>
      <c r="F20" s="13" t="str">
        <f>VLOOKUP(A20,Dataset!$A:$O,6,0)</f>
        <v>High</v>
      </c>
    </row>
    <row r="21" spans="1:8" x14ac:dyDescent="0.25">
      <c r="A21" s="9" t="s">
        <v>73</v>
      </c>
      <c r="B21" s="14" t="str">
        <f>VLOOKUP(A21,Dataset!$A:$O,2,0)</f>
        <v>Alpha</v>
      </c>
      <c r="C21" s="14" t="str">
        <f>VLOOKUP(A21,Dataset!$A:$O,3,0)</f>
        <v>Payments</v>
      </c>
      <c r="D21" s="14" t="str">
        <f>VLOOKUP(A21,Dataset!$A:$O,4,0)</f>
        <v>Diana</v>
      </c>
      <c r="E21" s="14" t="str">
        <f>VLOOKUP(A21,Dataset!$A:$O,5,0)</f>
        <v>High</v>
      </c>
      <c r="F21" s="13" t="str">
        <f>VLOOKUP(A21,Dataset!$A:$O,6,0)</f>
        <v>High</v>
      </c>
    </row>
    <row r="22" spans="1:8" x14ac:dyDescent="0.25">
      <c r="A22" s="5" t="s">
        <v>75</v>
      </c>
      <c r="B22" s="13" t="str">
        <f>VLOOKUP(A22,Dataset!$A:$O,2,0)</f>
        <v>Beta</v>
      </c>
      <c r="C22" s="13" t="str">
        <f>VLOOKUP(A22,Dataset!$A:$O,3,0)</f>
        <v>Reports</v>
      </c>
      <c r="D22" s="13" t="str">
        <f>VLOOKUP(A22,Dataset!$A:$O,4,0)</f>
        <v>Alice</v>
      </c>
      <c r="E22" s="13" t="str">
        <f>VLOOKUP(A22,Dataset!$A:$O,5,0)</f>
        <v>Medium</v>
      </c>
      <c r="F22" s="13" t="str">
        <f>VLOOKUP(A22,Dataset!$A:$O,6,0)</f>
        <v>Medium</v>
      </c>
    </row>
    <row r="23" spans="1:8" x14ac:dyDescent="0.25">
      <c r="A23" s="9" t="s">
        <v>77</v>
      </c>
      <c r="B23" s="14" t="str">
        <f>VLOOKUP(A23,Dataset!$A:$O,2,0)</f>
        <v>Gamma</v>
      </c>
      <c r="C23" s="14" t="str">
        <f>VLOOKUP(A23,Dataset!$A:$O,3,0)</f>
        <v>Search</v>
      </c>
      <c r="D23" s="14" t="str">
        <f>VLOOKUP(A23,Dataset!$A:$O,4,0)</f>
        <v>Charlie</v>
      </c>
      <c r="E23" s="14" t="str">
        <f>VLOOKUP(A23,Dataset!$A:$O,5,0)</f>
        <v>Low</v>
      </c>
      <c r="F23" s="13" t="str">
        <f>VLOOKUP(A23,Dataset!$A:$O,6,0)</f>
        <v>Low</v>
      </c>
    </row>
    <row r="25" spans="1:8" ht="21.75" customHeight="1" x14ac:dyDescent="0.25">
      <c r="A25" s="2" t="s">
        <v>82</v>
      </c>
      <c r="B25" s="2"/>
      <c r="C25" s="2"/>
      <c r="D25" s="2"/>
      <c r="E25" s="2"/>
      <c r="F25" s="2"/>
      <c r="G25" s="2"/>
      <c r="H25" s="2"/>
    </row>
    <row r="26" spans="1:8" x14ac:dyDescent="0.25">
      <c r="A26" s="4" t="s">
        <v>0</v>
      </c>
      <c r="B26" s="4" t="s">
        <v>10</v>
      </c>
      <c r="C26" s="4" t="s">
        <v>11</v>
      </c>
      <c r="D26" s="4" t="s">
        <v>12</v>
      </c>
      <c r="E26" s="4" t="s">
        <v>9</v>
      </c>
      <c r="F26" s="4" t="s">
        <v>83</v>
      </c>
      <c r="G26" s="4" t="s">
        <v>4</v>
      </c>
      <c r="H26" s="4" t="s">
        <v>5</v>
      </c>
    </row>
    <row r="27" spans="1:8" x14ac:dyDescent="0.25">
      <c r="A27" s="5" t="s">
        <v>15</v>
      </c>
      <c r="B27" s="13">
        <f>INDEX(Dataset!$K:$K,MATCH(A27,Dataset!$A:$A,0))</f>
        <v>8</v>
      </c>
      <c r="C27" s="13" t="str">
        <f>INDEX(Dataset!$L:$L,MATCH(A27,Dataset!$A:$A,0))</f>
        <v>Fail</v>
      </c>
      <c r="D27" s="13" t="str">
        <f>INDEX(Dataset!$M:$M,MATCH(A27,Dataset!$A:$A,0))</f>
        <v>QA</v>
      </c>
      <c r="E27" s="13">
        <f ca="1">INDEX(Dataset!$J:$J,MATCH(A27,Dataset!$A:$A,0))</f>
        <v>896</v>
      </c>
      <c r="F27" s="15" t="str">
        <f>INDEX(Dataset!$D:$D,MATCH(A27,Dataset!$A:$A,0))</f>
        <v>Alice</v>
      </c>
      <c r="G27" s="15" t="str">
        <f>INDEX(Dataset!$E:$E,MATCH(A27,Dataset!$A:$A,0))</f>
        <v>Critical</v>
      </c>
      <c r="H27" s="15" t="str">
        <f>INDEX(Dataset!$F:$F,MATCH(A27,Dataset!$A:$A,0))</f>
        <v>High</v>
      </c>
    </row>
    <row r="28" spans="1:8" x14ac:dyDescent="0.25">
      <c r="A28" s="9" t="s">
        <v>25</v>
      </c>
      <c r="B28" s="14">
        <f>INDEX(Dataset!$K:$K,MATCH(A28,Dataset!$A:$A,0))</f>
        <v>5</v>
      </c>
      <c r="C28" s="14" t="str">
        <f>INDEX(Dataset!$L:$L,MATCH(A28,Dataset!$A:$A,0))</f>
        <v>Pass</v>
      </c>
      <c r="D28" s="14" t="str">
        <f>INDEX(Dataset!$M:$M,MATCH(A28,Dataset!$A:$A,0))</f>
        <v>QA</v>
      </c>
      <c r="E28" s="14">
        <f ca="1">INDEX(Dataset!$J:$J,MATCH(A28,Dataset!$A:$A,0))</f>
        <v>2</v>
      </c>
      <c r="F28" s="16" t="str">
        <f>INDEX(Dataset!$D:$D,MATCH(A28,Dataset!$A:$A,0))</f>
        <v>Bob</v>
      </c>
      <c r="G28" s="16" t="str">
        <f>INDEX(Dataset!$E:$E,MATCH(A28,Dataset!$A:$A,0))</f>
        <v>High</v>
      </c>
      <c r="H28" s="16" t="str">
        <f>INDEX(Dataset!$F:$F,MATCH(A28,Dataset!$A:$A,0))</f>
        <v>High</v>
      </c>
    </row>
    <row r="29" spans="1:8" x14ac:dyDescent="0.25">
      <c r="A29" s="5" t="s">
        <v>31</v>
      </c>
      <c r="B29" s="13">
        <f>INDEX(Dataset!$K:$K,MATCH(A29,Dataset!$A:$A,0))</f>
        <v>3</v>
      </c>
      <c r="C29" s="13" t="str">
        <f>INDEX(Dataset!$L:$L,MATCH(A29,Dataset!$A:$A,0))</f>
        <v>Fail</v>
      </c>
      <c r="D29" s="13" t="str">
        <f>INDEX(Dataset!$M:$M,MATCH(A29,Dataset!$A:$A,0))</f>
        <v>Staging</v>
      </c>
      <c r="E29" s="13">
        <f ca="1">INDEX(Dataset!$J:$J,MATCH(A29,Dataset!$A:$A,0))</f>
        <v>894</v>
      </c>
      <c r="F29" s="15" t="str">
        <f>INDEX(Dataset!$D:$D,MATCH(A29,Dataset!$A:$A,0))</f>
        <v>Alice</v>
      </c>
      <c r="G29" s="15" t="str">
        <f>INDEX(Dataset!$E:$E,MATCH(A29,Dataset!$A:$A,0))</f>
        <v>Medium</v>
      </c>
      <c r="H29" s="15" t="str">
        <f>INDEX(Dataset!$F:$F,MATCH(A29,Dataset!$A:$A,0))</f>
        <v>Medium</v>
      </c>
    </row>
    <row r="30" spans="1:8" x14ac:dyDescent="0.25">
      <c r="A30" s="9" t="s">
        <v>37</v>
      </c>
      <c r="B30" s="14">
        <f>INDEX(Dataset!$K:$K,MATCH(A30,Dataset!$A:$A,0))</f>
        <v>2</v>
      </c>
      <c r="C30" s="14" t="str">
        <f>INDEX(Dataset!$L:$L,MATCH(A30,Dataset!$A:$A,0))</f>
        <v>Pass</v>
      </c>
      <c r="D30" s="14" t="str">
        <f>INDEX(Dataset!$M:$M,MATCH(A30,Dataset!$A:$A,0))</f>
        <v>QA</v>
      </c>
      <c r="E30" s="14">
        <f ca="1">INDEX(Dataset!$J:$J,MATCH(A30,Dataset!$A:$A,0))</f>
        <v>1</v>
      </c>
      <c r="F30" s="16" t="str">
        <f>INDEX(Dataset!$D:$D,MATCH(A30,Dataset!$A:$A,0))</f>
        <v>Charlie</v>
      </c>
      <c r="G30" s="16" t="str">
        <f>INDEX(Dataset!$E:$E,MATCH(A30,Dataset!$A:$A,0))</f>
        <v>Low</v>
      </c>
      <c r="H30" s="16" t="str">
        <f>INDEX(Dataset!$F:$F,MATCH(A30,Dataset!$A:$A,0))</f>
        <v>Low</v>
      </c>
    </row>
    <row r="31" spans="1:8" x14ac:dyDescent="0.25">
      <c r="A31" s="5" t="s">
        <v>42</v>
      </c>
      <c r="B31" s="13">
        <f>INDEX(Dataset!$K:$K,MATCH(A31,Dataset!$A:$A,0))</f>
        <v>10</v>
      </c>
      <c r="C31" s="13" t="str">
        <f>INDEX(Dataset!$L:$L,MATCH(A31,Dataset!$A:$A,0))</f>
        <v>Pass</v>
      </c>
      <c r="D31" s="13" t="str">
        <f>INDEX(Dataset!$M:$M,MATCH(A31,Dataset!$A:$A,0))</f>
        <v>Production</v>
      </c>
      <c r="E31" s="13">
        <f ca="1">INDEX(Dataset!$J:$J,MATCH(A31,Dataset!$A:$A,0))</f>
        <v>2</v>
      </c>
      <c r="F31" s="15" t="str">
        <f>INDEX(Dataset!$D:$D,MATCH(A31,Dataset!$A:$A,0))</f>
        <v>Bob</v>
      </c>
      <c r="G31" s="15" t="str">
        <f>INDEX(Dataset!$E:$E,MATCH(A31,Dataset!$A:$A,0))</f>
        <v>Critical</v>
      </c>
      <c r="H31" s="15" t="str">
        <f>INDEX(Dataset!$F:$F,MATCH(A31,Dataset!$A:$A,0))</f>
        <v>High</v>
      </c>
    </row>
    <row r="32" spans="1:8" x14ac:dyDescent="0.25">
      <c r="A32" s="9" t="s">
        <v>46</v>
      </c>
      <c r="B32" s="14">
        <f>INDEX(Dataset!$K:$K,MATCH(A32,Dataset!$A:$A,0))</f>
        <v>4</v>
      </c>
      <c r="C32" s="14" t="str">
        <f>INDEX(Dataset!$L:$L,MATCH(A32,Dataset!$A:$A,0))</f>
        <v>Fail</v>
      </c>
      <c r="D32" s="14" t="str">
        <f>INDEX(Dataset!$M:$M,MATCH(A32,Dataset!$A:$A,0))</f>
        <v>QA</v>
      </c>
      <c r="E32" s="14">
        <f ca="1">INDEX(Dataset!$J:$J,MATCH(A32,Dataset!$A:$A,0))</f>
        <v>891</v>
      </c>
      <c r="F32" s="16" t="str">
        <f>INDEX(Dataset!$D:$D,MATCH(A32,Dataset!$A:$A,0))</f>
        <v>Diana</v>
      </c>
      <c r="G32" s="16" t="str">
        <f>INDEX(Dataset!$E:$E,MATCH(A32,Dataset!$A:$A,0))</f>
        <v>High</v>
      </c>
      <c r="H32" s="16" t="str">
        <f>INDEX(Dataset!$F:$F,MATCH(A32,Dataset!$A:$A,0))</f>
        <v>Medium</v>
      </c>
    </row>
    <row r="33" spans="1:10" x14ac:dyDescent="0.25">
      <c r="A33" s="5" t="s">
        <v>51</v>
      </c>
      <c r="B33" s="13">
        <f>INDEX(Dataset!$K:$K,MATCH(A33,Dataset!$A:$A,0))</f>
        <v>3</v>
      </c>
      <c r="C33" s="13" t="str">
        <f>INDEX(Dataset!$L:$L,MATCH(A33,Dataset!$A:$A,0))</f>
        <v>Pass</v>
      </c>
      <c r="D33" s="13" t="str">
        <f>INDEX(Dataset!$M:$M,MATCH(A33,Dataset!$A:$A,0))</f>
        <v>Staging</v>
      </c>
      <c r="E33" s="13">
        <f ca="1">INDEX(Dataset!$J:$J,MATCH(A33,Dataset!$A:$A,0))</f>
        <v>2</v>
      </c>
      <c r="F33" s="15" t="str">
        <f>INDEX(Dataset!$D:$D,MATCH(A33,Dataset!$A:$A,0))</f>
        <v>Charlie</v>
      </c>
      <c r="G33" s="15" t="str">
        <f>INDEX(Dataset!$E:$E,MATCH(A33,Dataset!$A:$A,0))</f>
        <v>Medium</v>
      </c>
      <c r="H33" s="15" t="str">
        <f>INDEX(Dataset!$F:$F,MATCH(A33,Dataset!$A:$A,0))</f>
        <v>Low</v>
      </c>
    </row>
    <row r="34" spans="1:10" x14ac:dyDescent="0.25">
      <c r="A34" s="9" t="s">
        <v>53</v>
      </c>
      <c r="B34" s="14">
        <f>INDEX(Dataset!$K:$K,MATCH(A34,Dataset!$A:$A,0))</f>
        <v>2</v>
      </c>
      <c r="C34" s="14" t="str">
        <f>INDEX(Dataset!$L:$L,MATCH(A34,Dataset!$A:$A,0))</f>
        <v>Pass</v>
      </c>
      <c r="D34" s="14" t="str">
        <f>INDEX(Dataset!$M:$M,MATCH(A34,Dataset!$A:$A,0))</f>
        <v>QA</v>
      </c>
      <c r="E34" s="14">
        <f ca="1">INDEX(Dataset!$J:$J,MATCH(A34,Dataset!$A:$A,0))</f>
        <v>2</v>
      </c>
      <c r="F34" s="16" t="str">
        <f>INDEX(Dataset!$D:$D,MATCH(A34,Dataset!$A:$A,0))</f>
        <v>Alice</v>
      </c>
      <c r="G34" s="16" t="str">
        <f>INDEX(Dataset!$E:$E,MATCH(A34,Dataset!$A:$A,0))</f>
        <v>Low</v>
      </c>
      <c r="H34" s="16" t="str">
        <f>INDEX(Dataset!$F:$F,MATCH(A34,Dataset!$A:$A,0))</f>
        <v>Low</v>
      </c>
    </row>
    <row r="35" spans="1:10" x14ac:dyDescent="0.25">
      <c r="A35" s="5" t="s">
        <v>55</v>
      </c>
      <c r="B35" s="13">
        <f>INDEX(Dataset!$K:$K,MATCH(A35,Dataset!$A:$A,0))</f>
        <v>7</v>
      </c>
      <c r="C35" s="13" t="str">
        <f>INDEX(Dataset!$L:$L,MATCH(A35,Dataset!$A:$A,0))</f>
        <v>Fail</v>
      </c>
      <c r="D35" s="13" t="str">
        <f>INDEX(Dataset!$M:$M,MATCH(A35,Dataset!$A:$A,0))</f>
        <v>Production</v>
      </c>
      <c r="E35" s="13">
        <f ca="1">INDEX(Dataset!$J:$J,MATCH(A35,Dataset!$A:$A,0))</f>
        <v>888</v>
      </c>
      <c r="F35" s="15" t="str">
        <f>INDEX(Dataset!$D:$D,MATCH(A35,Dataset!$A:$A,0))</f>
        <v>Bob</v>
      </c>
      <c r="G35" s="15" t="str">
        <f>INDEX(Dataset!$E:$E,MATCH(A35,Dataset!$A:$A,0))</f>
        <v>Critical</v>
      </c>
      <c r="H35" s="15" t="str">
        <f>INDEX(Dataset!$F:$F,MATCH(A35,Dataset!$A:$A,0))</f>
        <v>High</v>
      </c>
    </row>
    <row r="36" spans="1:10" x14ac:dyDescent="0.25">
      <c r="A36" s="9" t="s">
        <v>57</v>
      </c>
      <c r="B36" s="14">
        <f>INDEX(Dataset!$K:$K,MATCH(A36,Dataset!$A:$A,0))</f>
        <v>6</v>
      </c>
      <c r="C36" s="14" t="str">
        <f>INDEX(Dataset!$L:$L,MATCH(A36,Dataset!$A:$A,0))</f>
        <v>Pass</v>
      </c>
      <c r="D36" s="14" t="str">
        <f>INDEX(Dataset!$M:$M,MATCH(A36,Dataset!$A:$A,0))</f>
        <v>QA</v>
      </c>
      <c r="E36" s="14">
        <f ca="1">INDEX(Dataset!$J:$J,MATCH(A36,Dataset!$A:$A,0))</f>
        <v>2</v>
      </c>
      <c r="F36" s="16" t="str">
        <f>INDEX(Dataset!$D:$D,MATCH(A36,Dataset!$A:$A,0))</f>
        <v>Diana</v>
      </c>
      <c r="G36" s="16" t="str">
        <f>INDEX(Dataset!$E:$E,MATCH(A36,Dataset!$A:$A,0))</f>
        <v>High</v>
      </c>
      <c r="H36" s="16" t="str">
        <f>INDEX(Dataset!$F:$F,MATCH(A36,Dataset!$A:$A,0))</f>
        <v>High</v>
      </c>
    </row>
    <row r="37" spans="1:10" x14ac:dyDescent="0.25">
      <c r="A37" s="5" t="s">
        <v>59</v>
      </c>
      <c r="B37" s="13">
        <f>INDEX(Dataset!$K:$K,MATCH(A37,Dataset!$A:$A,0))</f>
        <v>3</v>
      </c>
      <c r="C37" s="13" t="str">
        <f>INDEX(Dataset!$L:$L,MATCH(A37,Dataset!$A:$A,0))</f>
        <v>Fail</v>
      </c>
      <c r="D37" s="13" t="str">
        <f>INDEX(Dataset!$M:$M,MATCH(A37,Dataset!$A:$A,0))</f>
        <v>Staging</v>
      </c>
      <c r="E37" s="13">
        <f ca="1">INDEX(Dataset!$J:$J,MATCH(A37,Dataset!$A:$A,0))</f>
        <v>886</v>
      </c>
      <c r="F37" s="15" t="str">
        <f>INDEX(Dataset!$D:$D,MATCH(A37,Dataset!$A:$A,0))</f>
        <v>Alice</v>
      </c>
      <c r="G37" s="15" t="str">
        <f>INDEX(Dataset!$E:$E,MATCH(A37,Dataset!$A:$A,0))</f>
        <v>Medium</v>
      </c>
      <c r="H37" s="15" t="str">
        <f>INDEX(Dataset!$F:$F,MATCH(A37,Dataset!$A:$A,0))</f>
        <v>Medium</v>
      </c>
    </row>
    <row r="38" spans="1:10" x14ac:dyDescent="0.25">
      <c r="A38" s="9" t="s">
        <v>61</v>
      </c>
      <c r="B38" s="14">
        <f>INDEX(Dataset!$K:$K,MATCH(A38,Dataset!$A:$A,0))</f>
        <v>1</v>
      </c>
      <c r="C38" s="14" t="str">
        <f>INDEX(Dataset!$L:$L,MATCH(A38,Dataset!$A:$A,0))</f>
        <v>Pass</v>
      </c>
      <c r="D38" s="14" t="str">
        <f>INDEX(Dataset!$M:$M,MATCH(A38,Dataset!$A:$A,0))</f>
        <v>QA</v>
      </c>
      <c r="E38" s="14">
        <f ca="1">INDEX(Dataset!$J:$J,MATCH(A38,Dataset!$A:$A,0))</f>
        <v>1</v>
      </c>
      <c r="F38" s="16" t="str">
        <f>INDEX(Dataset!$D:$D,MATCH(A38,Dataset!$A:$A,0))</f>
        <v>Charlie</v>
      </c>
      <c r="G38" s="16" t="str">
        <f>INDEX(Dataset!$E:$E,MATCH(A38,Dataset!$A:$A,0))</f>
        <v>Low</v>
      </c>
      <c r="H38" s="16" t="str">
        <f>INDEX(Dataset!$F:$F,MATCH(A38,Dataset!$A:$A,0))</f>
        <v>Low</v>
      </c>
    </row>
    <row r="39" spans="1:10" x14ac:dyDescent="0.25">
      <c r="A39" s="5" t="s">
        <v>63</v>
      </c>
      <c r="B39" s="13">
        <f>INDEX(Dataset!$K:$K,MATCH(A39,Dataset!$A:$A,0))</f>
        <v>9</v>
      </c>
      <c r="C39" s="13" t="str">
        <f>INDEX(Dataset!$L:$L,MATCH(A39,Dataset!$A:$A,0))</f>
        <v>Pass</v>
      </c>
      <c r="D39" s="13" t="str">
        <f>INDEX(Dataset!$M:$M,MATCH(A39,Dataset!$A:$A,0))</f>
        <v>Production</v>
      </c>
      <c r="E39" s="13">
        <f ca="1">INDEX(Dataset!$J:$J,MATCH(A39,Dataset!$A:$A,0))</f>
        <v>2</v>
      </c>
      <c r="F39" s="15" t="str">
        <f>INDEX(Dataset!$D:$D,MATCH(A39,Dataset!$A:$A,0))</f>
        <v>Bob</v>
      </c>
      <c r="G39" s="15" t="str">
        <f>INDEX(Dataset!$E:$E,MATCH(A39,Dataset!$A:$A,0))</f>
        <v>Critical</v>
      </c>
      <c r="H39" s="15" t="str">
        <f>INDEX(Dataset!$F:$F,MATCH(A39,Dataset!$A:$A,0))</f>
        <v>High</v>
      </c>
    </row>
    <row r="40" spans="1:10" x14ac:dyDescent="0.25">
      <c r="A40" s="9" t="s">
        <v>65</v>
      </c>
      <c r="B40" s="14">
        <f>INDEX(Dataset!$K:$K,MATCH(A40,Dataset!$A:$A,0))</f>
        <v>5</v>
      </c>
      <c r="C40" s="14" t="str">
        <f>INDEX(Dataset!$L:$L,MATCH(A40,Dataset!$A:$A,0))</f>
        <v>Fail</v>
      </c>
      <c r="D40" s="14" t="str">
        <f>INDEX(Dataset!$M:$M,MATCH(A40,Dataset!$A:$A,0))</f>
        <v>QA</v>
      </c>
      <c r="E40" s="14">
        <f ca="1">INDEX(Dataset!$J:$J,MATCH(A40,Dataset!$A:$A,0))</f>
        <v>883</v>
      </c>
      <c r="F40" s="16" t="str">
        <f>INDEX(Dataset!$D:$D,MATCH(A40,Dataset!$A:$A,0))</f>
        <v>Diana</v>
      </c>
      <c r="G40" s="16" t="str">
        <f>INDEX(Dataset!$E:$E,MATCH(A40,Dataset!$A:$A,0))</f>
        <v>High</v>
      </c>
      <c r="H40" s="16" t="str">
        <f>INDEX(Dataset!$F:$F,MATCH(A40,Dataset!$A:$A,0))</f>
        <v>Medium</v>
      </c>
    </row>
    <row r="41" spans="1:10" x14ac:dyDescent="0.25">
      <c r="A41" s="5" t="s">
        <v>67</v>
      </c>
      <c r="B41" s="13">
        <f>INDEX(Dataset!$K:$K,MATCH(A41,Dataset!$A:$A,0))</f>
        <v>4</v>
      </c>
      <c r="C41" s="13" t="str">
        <f>INDEX(Dataset!$L:$L,MATCH(A41,Dataset!$A:$A,0))</f>
        <v>Pass</v>
      </c>
      <c r="D41" s="13" t="str">
        <f>INDEX(Dataset!$M:$M,MATCH(A41,Dataset!$A:$A,0))</f>
        <v>Staging</v>
      </c>
      <c r="E41" s="13">
        <f ca="1">INDEX(Dataset!$J:$J,MATCH(A41,Dataset!$A:$A,0))</f>
        <v>2</v>
      </c>
      <c r="F41" s="15" t="str">
        <f>INDEX(Dataset!$D:$D,MATCH(A41,Dataset!$A:$A,0))</f>
        <v>Alice</v>
      </c>
      <c r="G41" s="15" t="str">
        <f>INDEX(Dataset!$E:$E,MATCH(A41,Dataset!$A:$A,0))</f>
        <v>Medium</v>
      </c>
      <c r="H41" s="15" t="str">
        <f>INDEX(Dataset!$F:$F,MATCH(A41,Dataset!$A:$A,0))</f>
        <v>Low</v>
      </c>
    </row>
    <row r="42" spans="1:10" x14ac:dyDescent="0.25">
      <c r="A42" s="9" t="s">
        <v>69</v>
      </c>
      <c r="B42" s="14">
        <f>INDEX(Dataset!$K:$K,MATCH(A42,Dataset!$A:$A,0))</f>
        <v>2</v>
      </c>
      <c r="C42" s="14" t="str">
        <f>INDEX(Dataset!$L:$L,MATCH(A42,Dataset!$A:$A,0))</f>
        <v>Pass</v>
      </c>
      <c r="D42" s="14" t="str">
        <f>INDEX(Dataset!$M:$M,MATCH(A42,Dataset!$A:$A,0))</f>
        <v>QA</v>
      </c>
      <c r="E42" s="14">
        <f ca="1">INDEX(Dataset!$J:$J,MATCH(A42,Dataset!$A:$A,0))</f>
        <v>2</v>
      </c>
      <c r="F42" s="16" t="str">
        <f>INDEX(Dataset!$D:$D,MATCH(A42,Dataset!$A:$A,0))</f>
        <v>Charlie</v>
      </c>
      <c r="G42" s="16" t="str">
        <f>INDEX(Dataset!$E:$E,MATCH(A42,Dataset!$A:$A,0))</f>
        <v>Low</v>
      </c>
      <c r="H42" s="16" t="str">
        <f>INDEX(Dataset!$F:$F,MATCH(A42,Dataset!$A:$A,0))</f>
        <v>Low</v>
      </c>
    </row>
    <row r="43" spans="1:10" x14ac:dyDescent="0.25">
      <c r="A43" s="5" t="s">
        <v>71</v>
      </c>
      <c r="B43" s="13">
        <f>INDEX(Dataset!$K:$K,MATCH(A43,Dataset!$A:$A,0))</f>
        <v>8</v>
      </c>
      <c r="C43" s="13" t="str">
        <f>INDEX(Dataset!$L:$L,MATCH(A43,Dataset!$A:$A,0))</f>
        <v>Fail</v>
      </c>
      <c r="D43" s="13" t="str">
        <f>INDEX(Dataset!$M:$M,MATCH(A43,Dataset!$A:$A,0))</f>
        <v>Production</v>
      </c>
      <c r="E43" s="13">
        <f ca="1">INDEX(Dataset!$J:$J,MATCH(A43,Dataset!$A:$A,0))</f>
        <v>880</v>
      </c>
      <c r="F43" s="15" t="str">
        <f>INDEX(Dataset!$D:$D,MATCH(A43,Dataset!$A:$A,0))</f>
        <v>Bob</v>
      </c>
      <c r="G43" s="15" t="str">
        <f>INDEX(Dataset!$E:$E,MATCH(A43,Dataset!$A:$A,0))</f>
        <v>Critical</v>
      </c>
      <c r="H43" s="15" t="str">
        <f>INDEX(Dataset!$F:$F,MATCH(A43,Dataset!$A:$A,0))</f>
        <v>High</v>
      </c>
    </row>
    <row r="44" spans="1:10" x14ac:dyDescent="0.25">
      <c r="A44" s="9" t="s">
        <v>73</v>
      </c>
      <c r="B44" s="14">
        <f>INDEX(Dataset!$K:$K,MATCH(A44,Dataset!$A:$A,0))</f>
        <v>7</v>
      </c>
      <c r="C44" s="14" t="str">
        <f>INDEX(Dataset!$L:$L,MATCH(A44,Dataset!$A:$A,0))</f>
        <v>Pass</v>
      </c>
      <c r="D44" s="14" t="str">
        <f>INDEX(Dataset!$M:$M,MATCH(A44,Dataset!$A:$A,0))</f>
        <v>QA</v>
      </c>
      <c r="E44" s="14">
        <f ca="1">INDEX(Dataset!$J:$J,MATCH(A44,Dataset!$A:$A,0))</f>
        <v>2</v>
      </c>
      <c r="F44" s="16" t="str">
        <f>INDEX(Dataset!$D:$D,MATCH(A44,Dataset!$A:$A,0))</f>
        <v>Diana</v>
      </c>
      <c r="G44" s="16" t="str">
        <f>INDEX(Dataset!$E:$E,MATCH(A44,Dataset!$A:$A,0))</f>
        <v>High</v>
      </c>
      <c r="H44" s="16" t="str">
        <f>INDEX(Dataset!$F:$F,MATCH(A44,Dataset!$A:$A,0))</f>
        <v>High</v>
      </c>
    </row>
    <row r="45" spans="1:10" x14ac:dyDescent="0.25">
      <c r="A45" s="5" t="s">
        <v>75</v>
      </c>
      <c r="B45" s="13">
        <f>INDEX(Dataset!$K:$K,MATCH(A45,Dataset!$A:$A,0))</f>
        <v>3</v>
      </c>
      <c r="C45" s="13" t="str">
        <f>INDEX(Dataset!$L:$L,MATCH(A45,Dataset!$A:$A,0))</f>
        <v>Fail</v>
      </c>
      <c r="D45" s="13" t="str">
        <f>INDEX(Dataset!$M:$M,MATCH(A45,Dataset!$A:$A,0))</f>
        <v>Staging</v>
      </c>
      <c r="E45" s="13">
        <f ca="1">INDEX(Dataset!$J:$J,MATCH(A45,Dataset!$A:$A,0))</f>
        <v>878</v>
      </c>
      <c r="F45" s="15" t="str">
        <f>INDEX(Dataset!$D:$D,MATCH(A45,Dataset!$A:$A,0))</f>
        <v>Alice</v>
      </c>
      <c r="G45" s="15" t="str">
        <f>INDEX(Dataset!$E:$E,MATCH(A45,Dataset!$A:$A,0))</f>
        <v>Medium</v>
      </c>
      <c r="H45" s="15" t="str">
        <f>INDEX(Dataset!$F:$F,MATCH(A45,Dataset!$A:$A,0))</f>
        <v>Medium</v>
      </c>
    </row>
    <row r="46" spans="1:10" x14ac:dyDescent="0.25">
      <c r="A46" s="9" t="s">
        <v>77</v>
      </c>
      <c r="B46" s="14">
        <f>INDEX(Dataset!$K:$K,MATCH(A46,Dataset!$A:$A,0))</f>
        <v>1</v>
      </c>
      <c r="C46" s="14" t="str">
        <f>INDEX(Dataset!$L:$L,MATCH(A46,Dataset!$A:$A,0))</f>
        <v>Pass</v>
      </c>
      <c r="D46" s="14" t="str">
        <f>INDEX(Dataset!$M:$M,MATCH(A46,Dataset!$A:$A,0))</f>
        <v>QA</v>
      </c>
      <c r="E46" s="14">
        <f ca="1">INDEX(Dataset!$J:$J,MATCH(A46,Dataset!$A:$A,0))</f>
        <v>1</v>
      </c>
      <c r="F46" s="16" t="str">
        <f>INDEX(Dataset!$D:$D,MATCH(A46,Dataset!$A:$A,0))</f>
        <v>Charlie</v>
      </c>
      <c r="G46" s="16" t="str">
        <f>INDEX(Dataset!$E:$E,MATCH(A46,Dataset!$A:$A,0))</f>
        <v>Low</v>
      </c>
      <c r="H46" s="16" t="str">
        <f>INDEX(Dataset!$F:$F,MATCH(A46,Dataset!$A:$A,0))</f>
        <v>Low</v>
      </c>
    </row>
    <row r="48" spans="1:10" ht="21.75" customHeight="1" x14ac:dyDescent="0.25">
      <c r="A48" s="2" t="s">
        <v>84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26.25" customHeight="1" x14ac:dyDescent="0.25">
      <c r="A49" s="4" t="s">
        <v>0</v>
      </c>
      <c r="B49" s="4" t="s">
        <v>85</v>
      </c>
      <c r="C49" s="4" t="s">
        <v>86</v>
      </c>
      <c r="D49" s="4" t="s">
        <v>87</v>
      </c>
      <c r="E49" s="4" t="s">
        <v>88</v>
      </c>
      <c r="F49" s="4" t="s">
        <v>89</v>
      </c>
    </row>
    <row r="50" spans="1:10" x14ac:dyDescent="0.25">
      <c r="A50" s="5" t="s">
        <v>15</v>
      </c>
      <c r="B50" s="5">
        <v>2</v>
      </c>
      <c r="C50" s="17" t="str">
        <f ca="1">OFFSET(Dataset!$A$1,B50-1,2)</f>
        <v>Login</v>
      </c>
      <c r="D50" s="17" t="str">
        <f ca="1">OFFSET(Dataset!$A$1,B50-1,4)</f>
        <v>Critical</v>
      </c>
      <c r="E50" s="17">
        <f ca="1">OFFSET(Dataset!$A$1,B50-1,10)</f>
        <v>8</v>
      </c>
      <c r="F50" s="17" t="str">
        <f ca="1">OFFSET(Dataset!$A$1,B50-1,6)</f>
        <v>Open</v>
      </c>
    </row>
    <row r="51" spans="1:10" x14ac:dyDescent="0.25">
      <c r="A51" s="9" t="s">
        <v>25</v>
      </c>
      <c r="B51" s="9">
        <v>3</v>
      </c>
      <c r="C51" s="18" t="str">
        <f ca="1">OFFSET(Dataset!$A$1,B51-1,2)</f>
        <v>Dashboard</v>
      </c>
      <c r="D51" s="18" t="str">
        <f ca="1">OFFSET(Dataset!$A$1,B51-1,4)</f>
        <v>High</v>
      </c>
      <c r="E51" s="18">
        <f ca="1">OFFSET(Dataset!$A$1,B51-1,10)</f>
        <v>5</v>
      </c>
      <c r="F51" s="18" t="str">
        <f ca="1">OFFSET(Dataset!$A$1,B51-1,6)</f>
        <v>Resolved</v>
      </c>
    </row>
    <row r="52" spans="1:10" x14ac:dyDescent="0.25">
      <c r="A52" s="5" t="s">
        <v>31</v>
      </c>
      <c r="B52" s="5">
        <v>4</v>
      </c>
      <c r="C52" s="17" t="str">
        <f ca="1">OFFSET(Dataset!$A$1,B52-1,2)</f>
        <v>Reports</v>
      </c>
      <c r="D52" s="17" t="str">
        <f ca="1">OFFSET(Dataset!$A$1,B52-1,4)</f>
        <v>Medium</v>
      </c>
      <c r="E52" s="17">
        <f ca="1">OFFSET(Dataset!$A$1,B52-1,10)</f>
        <v>3</v>
      </c>
      <c r="F52" s="17" t="str">
        <f ca="1">OFFSET(Dataset!$A$1,B52-1,6)</f>
        <v>Open</v>
      </c>
    </row>
    <row r="53" spans="1:10" x14ac:dyDescent="0.25">
      <c r="A53" s="9" t="s">
        <v>37</v>
      </c>
      <c r="B53" s="9">
        <v>5</v>
      </c>
      <c r="C53" s="18" t="str">
        <f ca="1">OFFSET(Dataset!$A$1,B53-1,2)</f>
        <v>Login</v>
      </c>
      <c r="D53" s="18" t="str">
        <f ca="1">OFFSET(Dataset!$A$1,B53-1,4)</f>
        <v>Low</v>
      </c>
      <c r="E53" s="18">
        <f ca="1">OFFSET(Dataset!$A$1,B53-1,10)</f>
        <v>2</v>
      </c>
      <c r="F53" s="18" t="str">
        <f ca="1">OFFSET(Dataset!$A$1,B53-1,6)</f>
        <v>Closed</v>
      </c>
    </row>
    <row r="54" spans="1:10" x14ac:dyDescent="0.25">
      <c r="A54" s="5" t="s">
        <v>42</v>
      </c>
      <c r="B54" s="5">
        <v>6</v>
      </c>
      <c r="C54" s="17" t="str">
        <f ca="1">OFFSET(Dataset!$A$1,B54-1,2)</f>
        <v>Payments</v>
      </c>
      <c r="D54" s="17" t="str">
        <f ca="1">OFFSET(Dataset!$A$1,B54-1,4)</f>
        <v>Critical</v>
      </c>
      <c r="E54" s="17">
        <f ca="1">OFFSET(Dataset!$A$1,B54-1,10)</f>
        <v>10</v>
      </c>
      <c r="F54" s="17" t="str">
        <f ca="1">OFFSET(Dataset!$A$1,B54-1,6)</f>
        <v>Resolved</v>
      </c>
    </row>
    <row r="55" spans="1:10" x14ac:dyDescent="0.25">
      <c r="A55" s="9" t="s">
        <v>46</v>
      </c>
      <c r="B55" s="9">
        <v>7</v>
      </c>
      <c r="C55" s="18" t="str">
        <f ca="1">OFFSET(Dataset!$A$1,B55-1,2)</f>
        <v>Search</v>
      </c>
      <c r="D55" s="18" t="str">
        <f ca="1">OFFSET(Dataset!$A$1,B55-1,4)</f>
        <v>High</v>
      </c>
      <c r="E55" s="18">
        <f ca="1">OFFSET(Dataset!$A$1,B55-1,10)</f>
        <v>4</v>
      </c>
      <c r="F55" s="18" t="str">
        <f ca="1">OFFSET(Dataset!$A$1,B55-1,6)</f>
        <v>Open</v>
      </c>
    </row>
    <row r="56" spans="1:10" x14ac:dyDescent="0.25">
      <c r="A56" s="5" t="s">
        <v>51</v>
      </c>
      <c r="B56" s="5">
        <v>8</v>
      </c>
      <c r="C56" s="17" t="str">
        <f ca="1">OFFSET(Dataset!$A$1,B56-1,2)</f>
        <v>Reports</v>
      </c>
      <c r="D56" s="17" t="str">
        <f ca="1">OFFSET(Dataset!$A$1,B56-1,4)</f>
        <v>Medium</v>
      </c>
      <c r="E56" s="17">
        <f ca="1">OFFSET(Dataset!$A$1,B56-1,10)</f>
        <v>3</v>
      </c>
      <c r="F56" s="17" t="str">
        <f ca="1">OFFSET(Dataset!$A$1,B56-1,6)</f>
        <v>Closed</v>
      </c>
    </row>
    <row r="57" spans="1:10" x14ac:dyDescent="0.25">
      <c r="A57" s="9" t="s">
        <v>53</v>
      </c>
      <c r="B57" s="9">
        <v>9</v>
      </c>
      <c r="C57" s="18" t="str">
        <f ca="1">OFFSET(Dataset!$A$1,B57-1,2)</f>
        <v>Login</v>
      </c>
      <c r="D57" s="18" t="str">
        <f ca="1">OFFSET(Dataset!$A$1,B57-1,4)</f>
        <v>Low</v>
      </c>
      <c r="E57" s="18">
        <f ca="1">OFFSET(Dataset!$A$1,B57-1,10)</f>
        <v>2</v>
      </c>
      <c r="F57" s="18" t="str">
        <f ca="1">OFFSET(Dataset!$A$1,B57-1,6)</f>
        <v>Resolved</v>
      </c>
    </row>
    <row r="58" spans="1:10" x14ac:dyDescent="0.25">
      <c r="A58" s="5" t="s">
        <v>55</v>
      </c>
      <c r="B58" s="5">
        <v>10</v>
      </c>
      <c r="C58" s="17" t="str">
        <f ca="1">OFFSET(Dataset!$A$1,B58-1,2)</f>
        <v>Dashboard</v>
      </c>
      <c r="D58" s="17" t="str">
        <f ca="1">OFFSET(Dataset!$A$1,B58-1,4)</f>
        <v>Critical</v>
      </c>
      <c r="E58" s="17">
        <f ca="1">OFFSET(Dataset!$A$1,B58-1,10)</f>
        <v>7</v>
      </c>
      <c r="F58" s="17" t="str">
        <f ca="1">OFFSET(Dataset!$A$1,B58-1,6)</f>
        <v>Open</v>
      </c>
    </row>
    <row r="59" spans="1:10" x14ac:dyDescent="0.25">
      <c r="A59" s="9" t="s">
        <v>57</v>
      </c>
      <c r="B59" s="9">
        <v>11</v>
      </c>
      <c r="C59" s="18" t="str">
        <f ca="1">OFFSET(Dataset!$A$1,B59-1,2)</f>
        <v>Payments</v>
      </c>
      <c r="D59" s="18" t="str">
        <f ca="1">OFFSET(Dataset!$A$1,B59-1,4)</f>
        <v>High</v>
      </c>
      <c r="E59" s="18">
        <f ca="1">OFFSET(Dataset!$A$1,B59-1,10)</f>
        <v>6</v>
      </c>
      <c r="F59" s="18" t="str">
        <f ca="1">OFFSET(Dataset!$A$1,B59-1,6)</f>
        <v>Resolved</v>
      </c>
    </row>
    <row r="61" spans="1:10" ht="21.75" customHeight="1" x14ac:dyDescent="0.25">
      <c r="A61" s="2" t="s">
        <v>90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ht="26.25" customHeight="1" x14ac:dyDescent="0.25">
      <c r="A62" s="4" t="s">
        <v>0</v>
      </c>
      <c r="B62" s="4" t="s">
        <v>91</v>
      </c>
      <c r="C62" s="4" t="s">
        <v>92</v>
      </c>
      <c r="D62" s="4" t="s">
        <v>93</v>
      </c>
      <c r="E62" s="4" t="s">
        <v>94</v>
      </c>
      <c r="F62" s="4" t="s">
        <v>95</v>
      </c>
    </row>
    <row r="63" spans="1:10" x14ac:dyDescent="0.25">
      <c r="A63" s="5" t="s">
        <v>15</v>
      </c>
      <c r="B63" s="5">
        <v>3</v>
      </c>
      <c r="C63" s="19" t="str">
        <f t="shared" ref="C63:C72" ca="1" si="0">INDIRECT("Dataset!C"&amp;B63)</f>
        <v>Dashboard</v>
      </c>
      <c r="D63" s="19" t="str">
        <f t="shared" ref="D63:D72" ca="1" si="1">INDIRECT("Dataset!D"&amp;B63)</f>
        <v>Bob</v>
      </c>
      <c r="E63" s="19">
        <f t="shared" ref="E63:E72" ca="1" si="2">INDIRECT("Dataset!K"&amp;B63)</f>
        <v>5</v>
      </c>
      <c r="F63" s="20" t="str">
        <f t="shared" ref="F63:F72" ca="1" si="3">INDIRECT("Dataset!O"&amp;B63)</f>
        <v>Dashboard loads slowly on first open</v>
      </c>
    </row>
    <row r="64" spans="1:10" x14ac:dyDescent="0.25">
      <c r="A64" s="9" t="s">
        <v>25</v>
      </c>
      <c r="B64" s="9">
        <v>4</v>
      </c>
      <c r="C64" s="21" t="str">
        <f t="shared" ca="1" si="0"/>
        <v>Reports</v>
      </c>
      <c r="D64" s="21" t="str">
        <f t="shared" ca="1" si="1"/>
        <v>Alice</v>
      </c>
      <c r="E64" s="21">
        <f t="shared" ca="1" si="2"/>
        <v>3</v>
      </c>
      <c r="F64" s="22" t="str">
        <f t="shared" ca="1" si="3"/>
        <v>Export to PDF fails silently</v>
      </c>
    </row>
    <row r="65" spans="1:6" x14ac:dyDescent="0.25">
      <c r="A65" s="5" t="s">
        <v>31</v>
      </c>
      <c r="B65" s="5">
        <v>5</v>
      </c>
      <c r="C65" s="19" t="str">
        <f t="shared" ca="1" si="0"/>
        <v>Login</v>
      </c>
      <c r="D65" s="19" t="str">
        <f t="shared" ca="1" si="1"/>
        <v>Charlie</v>
      </c>
      <c r="E65" s="19">
        <f t="shared" ca="1" si="2"/>
        <v>2</v>
      </c>
      <c r="F65" s="20" t="str">
        <f t="shared" ca="1" si="3"/>
        <v>Typo in login error message</v>
      </c>
    </row>
    <row r="66" spans="1:6" x14ac:dyDescent="0.25">
      <c r="A66" s="9" t="s">
        <v>37</v>
      </c>
      <c r="B66" s="9">
        <v>6</v>
      </c>
      <c r="C66" s="21" t="str">
        <f t="shared" ca="1" si="0"/>
        <v>Payments</v>
      </c>
      <c r="D66" s="21" t="str">
        <f t="shared" ca="1" si="1"/>
        <v>Bob</v>
      </c>
      <c r="E66" s="21">
        <f t="shared" ca="1" si="2"/>
        <v>10</v>
      </c>
      <c r="F66" s="22" t="str">
        <f t="shared" ca="1" si="3"/>
        <v>Payment gateway timeout on retry</v>
      </c>
    </row>
    <row r="67" spans="1:6" x14ac:dyDescent="0.25">
      <c r="A67" s="5" t="s">
        <v>42</v>
      </c>
      <c r="B67" s="5">
        <v>7</v>
      </c>
      <c r="C67" s="19" t="str">
        <f t="shared" ca="1" si="0"/>
        <v>Search</v>
      </c>
      <c r="D67" s="19" t="str">
        <f t="shared" ca="1" si="1"/>
        <v>Diana</v>
      </c>
      <c r="E67" s="19">
        <f t="shared" ca="1" si="2"/>
        <v>4</v>
      </c>
      <c r="F67" s="20" t="str">
        <f t="shared" ca="1" si="3"/>
        <v>Search returns wrong result set</v>
      </c>
    </row>
    <row r="68" spans="1:6" x14ac:dyDescent="0.25">
      <c r="A68" s="9" t="s">
        <v>46</v>
      </c>
      <c r="B68" s="9">
        <v>8</v>
      </c>
      <c r="C68" s="21" t="str">
        <f t="shared" ca="1" si="0"/>
        <v>Reports</v>
      </c>
      <c r="D68" s="21" t="str">
        <f t="shared" ca="1" si="1"/>
        <v>Charlie</v>
      </c>
      <c r="E68" s="21">
        <f t="shared" ca="1" si="2"/>
        <v>3</v>
      </c>
      <c r="F68" s="22" t="str">
        <f t="shared" ca="1" si="3"/>
        <v>Report pagination broken on page 3</v>
      </c>
    </row>
    <row r="69" spans="1:6" x14ac:dyDescent="0.25">
      <c r="A69" s="5" t="s">
        <v>51</v>
      </c>
      <c r="B69" s="5">
        <v>9</v>
      </c>
      <c r="C69" s="19" t="str">
        <f t="shared" ca="1" si="0"/>
        <v>Login</v>
      </c>
      <c r="D69" s="19" t="str">
        <f t="shared" ca="1" si="1"/>
        <v>Alice</v>
      </c>
      <c r="E69" s="19">
        <f t="shared" ca="1" si="2"/>
        <v>2</v>
      </c>
      <c r="F69" s="20" t="str">
        <f t="shared" ca="1" si="3"/>
        <v>Password field asterisks missing</v>
      </c>
    </row>
    <row r="70" spans="1:6" x14ac:dyDescent="0.25">
      <c r="A70" s="9" t="s">
        <v>53</v>
      </c>
      <c r="B70" s="9">
        <v>10</v>
      </c>
      <c r="C70" s="21" t="str">
        <f t="shared" ca="1" si="0"/>
        <v>Dashboard</v>
      </c>
      <c r="D70" s="21" t="str">
        <f t="shared" ca="1" si="1"/>
        <v>Bob</v>
      </c>
      <c r="E70" s="21">
        <f t="shared" ca="1" si="2"/>
        <v>7</v>
      </c>
      <c r="F70" s="22" t="str">
        <f t="shared" ca="1" si="3"/>
        <v>App crashes on dashboard load</v>
      </c>
    </row>
    <row r="71" spans="1:6" x14ac:dyDescent="0.25">
      <c r="A71" s="5" t="s">
        <v>55</v>
      </c>
      <c r="B71" s="5">
        <v>11</v>
      </c>
      <c r="C71" s="19" t="str">
        <f t="shared" ca="1" si="0"/>
        <v>Payments</v>
      </c>
      <c r="D71" s="19" t="str">
        <f t="shared" ca="1" si="1"/>
        <v>Diana</v>
      </c>
      <c r="E71" s="19">
        <f t="shared" ca="1" si="2"/>
        <v>6</v>
      </c>
      <c r="F71" s="20" t="str">
        <f t="shared" ca="1" si="3"/>
        <v>Double charge on payment retry</v>
      </c>
    </row>
    <row r="72" spans="1:6" x14ac:dyDescent="0.25">
      <c r="A72" s="9" t="s">
        <v>57</v>
      </c>
      <c r="B72" s="9">
        <v>12</v>
      </c>
      <c r="C72" s="21" t="str">
        <f t="shared" ca="1" si="0"/>
        <v>Login</v>
      </c>
      <c r="D72" s="21" t="str">
        <f t="shared" ca="1" si="1"/>
        <v>Alice</v>
      </c>
      <c r="E72" s="21">
        <f t="shared" ca="1" si="2"/>
        <v>3</v>
      </c>
      <c r="F72" s="22" t="str">
        <f t="shared" ca="1" si="3"/>
        <v>SSO redirect broken after logout</v>
      </c>
    </row>
  </sheetData>
  <mergeCells count="5">
    <mergeCell ref="A1:L1"/>
    <mergeCell ref="A2:F2"/>
    <mergeCell ref="A25:H25"/>
    <mergeCell ref="A48:J48"/>
    <mergeCell ref="A61:J6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zoomScaleNormal="100" workbookViewId="0">
      <pane ySplit="2" topLeftCell="A3" activePane="bottomLeft" state="frozen"/>
      <selection pane="bottomLeft" activeCell="C54" sqref="C54"/>
    </sheetView>
  </sheetViews>
  <sheetFormatPr defaultColWidth="8.7109375" defaultRowHeight="15" x14ac:dyDescent="0.25"/>
  <cols>
    <col min="1" max="1" width="18" customWidth="1"/>
    <col min="2" max="2" width="30" customWidth="1"/>
    <col min="3" max="3" width="16" customWidth="1"/>
    <col min="4" max="4" width="30" customWidth="1"/>
    <col min="5" max="5" width="16" customWidth="1"/>
    <col min="6" max="6" width="14" customWidth="1"/>
    <col min="7" max="7" width="16" customWidth="1"/>
  </cols>
  <sheetData>
    <row r="1" spans="1:9" ht="27.75" customHeight="1" x14ac:dyDescent="0.25">
      <c r="A1" s="3" t="s">
        <v>96</v>
      </c>
      <c r="B1" s="3"/>
      <c r="C1" s="3"/>
      <c r="D1" s="3"/>
      <c r="E1" s="3"/>
      <c r="F1" s="3"/>
      <c r="G1" s="3"/>
      <c r="H1" s="3"/>
      <c r="I1" s="3"/>
    </row>
    <row r="2" spans="1:9" ht="21.75" customHeight="1" x14ac:dyDescent="0.25">
      <c r="A2" s="2" t="s">
        <v>97</v>
      </c>
      <c r="B2" s="2"/>
      <c r="C2" s="2"/>
      <c r="D2" s="2"/>
      <c r="E2" s="2"/>
      <c r="F2" s="2"/>
      <c r="G2" s="2"/>
    </row>
    <row r="3" spans="1:9" x14ac:dyDescent="0.25">
      <c r="A3" s="4" t="s">
        <v>0</v>
      </c>
      <c r="B3" s="4" t="s">
        <v>6</v>
      </c>
      <c r="C3" s="4" t="s">
        <v>98</v>
      </c>
      <c r="D3" s="4" t="s">
        <v>99</v>
      </c>
      <c r="E3" s="4" t="s">
        <v>100</v>
      </c>
      <c r="F3" s="4" t="s">
        <v>11</v>
      </c>
      <c r="G3" s="4" t="s">
        <v>101</v>
      </c>
    </row>
    <row r="4" spans="1:9" x14ac:dyDescent="0.25">
      <c r="A4" s="5" t="s">
        <v>15</v>
      </c>
      <c r="B4" s="7" t="str">
        <f>VLOOKUP(A4,Dataset!$A:$O,7,0)</f>
        <v>Open</v>
      </c>
      <c r="C4" s="13" t="str">
        <f>IF(VLOOKUP(A4,Dataset!$A:$O,6,0)="High","High Priority","Normal")</f>
        <v>High Priority</v>
      </c>
      <c r="D4" s="7">
        <f>VLOOKUP(A4,Dataset!$A:$O,11,0)</f>
        <v>8</v>
      </c>
      <c r="E4" s="13" t="str">
        <f t="shared" ref="E4:E23" si="0">IF(D4&gt;=8,"Heavy",IF(D4&gt;=4,"Moderate","Light"))</f>
        <v>Heavy</v>
      </c>
      <c r="F4" s="7" t="str">
        <f>VLOOKUP(A4,Dataset!$A:$O,12,0)</f>
        <v>Fail</v>
      </c>
      <c r="G4" s="13" t="str">
        <f t="shared" ref="G4:G23" si="1">IF(F4="Pass","Pass","Fail")</f>
        <v>Fail</v>
      </c>
    </row>
    <row r="5" spans="1:9" x14ac:dyDescent="0.25">
      <c r="A5" s="9" t="s">
        <v>25</v>
      </c>
      <c r="B5" s="11" t="str">
        <f>VLOOKUP(A5,Dataset!$A:$O,7,0)</f>
        <v>Resolved</v>
      </c>
      <c r="C5" s="14" t="str">
        <f>IF(VLOOKUP(A5,Dataset!$A:$O,6,0)="High","High Priority","Normal")</f>
        <v>High Priority</v>
      </c>
      <c r="D5" s="11">
        <f>VLOOKUP(A5,Dataset!$A:$O,11,0)</f>
        <v>5</v>
      </c>
      <c r="E5" s="14" t="str">
        <f t="shared" si="0"/>
        <v>Moderate</v>
      </c>
      <c r="F5" s="11" t="str">
        <f>VLOOKUP(A5,Dataset!$A:$O,12,0)</f>
        <v>Pass</v>
      </c>
      <c r="G5" s="14" t="str">
        <f t="shared" si="1"/>
        <v>Pass</v>
      </c>
    </row>
    <row r="6" spans="1:9" x14ac:dyDescent="0.25">
      <c r="A6" s="5" t="s">
        <v>31</v>
      </c>
      <c r="B6" s="7" t="str">
        <f>VLOOKUP(A6,Dataset!$A:$O,7,0)</f>
        <v>Open</v>
      </c>
      <c r="C6" s="13" t="str">
        <f>IF(VLOOKUP(A6,Dataset!$A:$O,6,0)="High","High Priority","Normal")</f>
        <v>Normal</v>
      </c>
      <c r="D6" s="7">
        <f>VLOOKUP(A6,Dataset!$A:$O,11,0)</f>
        <v>3</v>
      </c>
      <c r="E6" s="13" t="str">
        <f t="shared" si="0"/>
        <v>Light</v>
      </c>
      <c r="F6" s="7" t="str">
        <f>VLOOKUP(A6,Dataset!$A:$O,12,0)</f>
        <v>Fail</v>
      </c>
      <c r="G6" s="13" t="str">
        <f t="shared" si="1"/>
        <v>Fail</v>
      </c>
    </row>
    <row r="7" spans="1:9" x14ac:dyDescent="0.25">
      <c r="A7" s="9" t="s">
        <v>37</v>
      </c>
      <c r="B7" s="11" t="str">
        <f>VLOOKUP(A7,Dataset!$A:$O,7,0)</f>
        <v>Closed</v>
      </c>
      <c r="C7" s="14" t="str">
        <f>IF(VLOOKUP(A7,Dataset!$A:$O,6,0)="High","High Priority","Normal")</f>
        <v>Normal</v>
      </c>
      <c r="D7" s="11">
        <f>VLOOKUP(A7,Dataset!$A:$O,11,0)</f>
        <v>2</v>
      </c>
      <c r="E7" s="14" t="str">
        <f t="shared" si="0"/>
        <v>Light</v>
      </c>
      <c r="F7" s="11" t="str">
        <f>VLOOKUP(A7,Dataset!$A:$O,12,0)</f>
        <v>Pass</v>
      </c>
      <c r="G7" s="14" t="str">
        <f t="shared" si="1"/>
        <v>Pass</v>
      </c>
    </row>
    <row r="8" spans="1:9" x14ac:dyDescent="0.25">
      <c r="A8" s="5" t="s">
        <v>42</v>
      </c>
      <c r="B8" s="7" t="str">
        <f>VLOOKUP(A8,Dataset!$A:$O,7,0)</f>
        <v>Resolved</v>
      </c>
      <c r="C8" s="13" t="str">
        <f>IF(VLOOKUP(A8,Dataset!$A:$O,6,0)="High","High Priority","Normal")</f>
        <v>High Priority</v>
      </c>
      <c r="D8" s="7">
        <f>VLOOKUP(A8,Dataset!$A:$O,11,0)</f>
        <v>10</v>
      </c>
      <c r="E8" s="13" t="str">
        <f t="shared" si="0"/>
        <v>Heavy</v>
      </c>
      <c r="F8" s="7" t="str">
        <f>VLOOKUP(A8,Dataset!$A:$O,12,0)</f>
        <v>Pass</v>
      </c>
      <c r="G8" s="13" t="str">
        <f t="shared" si="1"/>
        <v>Pass</v>
      </c>
    </row>
    <row r="9" spans="1:9" x14ac:dyDescent="0.25">
      <c r="A9" s="9" t="s">
        <v>46</v>
      </c>
      <c r="B9" s="11" t="str">
        <f>VLOOKUP(A9,Dataset!$A:$O,7,0)</f>
        <v>Open</v>
      </c>
      <c r="C9" s="14" t="str">
        <f>IF(VLOOKUP(A9,Dataset!$A:$O,6,0)="High","High Priority","Normal")</f>
        <v>Normal</v>
      </c>
      <c r="D9" s="11">
        <f>VLOOKUP(A9,Dataset!$A:$O,11,0)</f>
        <v>4</v>
      </c>
      <c r="E9" s="14" t="str">
        <f t="shared" si="0"/>
        <v>Moderate</v>
      </c>
      <c r="F9" s="11" t="str">
        <f>VLOOKUP(A9,Dataset!$A:$O,12,0)</f>
        <v>Fail</v>
      </c>
      <c r="G9" s="14" t="str">
        <f t="shared" si="1"/>
        <v>Fail</v>
      </c>
    </row>
    <row r="10" spans="1:9" x14ac:dyDescent="0.25">
      <c r="A10" s="5" t="s">
        <v>51</v>
      </c>
      <c r="B10" s="7" t="str">
        <f>VLOOKUP(A10,Dataset!$A:$O,7,0)</f>
        <v>Closed</v>
      </c>
      <c r="C10" s="13" t="str">
        <f>IF(VLOOKUP(A10,Dataset!$A:$O,6,0)="High","High Priority","Normal")</f>
        <v>Normal</v>
      </c>
      <c r="D10" s="7">
        <f>VLOOKUP(A10,Dataset!$A:$O,11,0)</f>
        <v>3</v>
      </c>
      <c r="E10" s="13" t="str">
        <f t="shared" si="0"/>
        <v>Light</v>
      </c>
      <c r="F10" s="7" t="str">
        <f>VLOOKUP(A10,Dataset!$A:$O,12,0)</f>
        <v>Pass</v>
      </c>
      <c r="G10" s="13" t="str">
        <f t="shared" si="1"/>
        <v>Pass</v>
      </c>
    </row>
    <row r="11" spans="1:9" x14ac:dyDescent="0.25">
      <c r="A11" s="9" t="s">
        <v>53</v>
      </c>
      <c r="B11" s="11" t="str">
        <f>VLOOKUP(A11,Dataset!$A:$O,7,0)</f>
        <v>Resolved</v>
      </c>
      <c r="C11" s="14" t="str">
        <f>IF(VLOOKUP(A11,Dataset!$A:$O,6,0)="High","High Priority","Normal")</f>
        <v>Normal</v>
      </c>
      <c r="D11" s="11">
        <f>VLOOKUP(A11,Dataset!$A:$O,11,0)</f>
        <v>2</v>
      </c>
      <c r="E11" s="14" t="str">
        <f t="shared" si="0"/>
        <v>Light</v>
      </c>
      <c r="F11" s="11" t="str">
        <f>VLOOKUP(A11,Dataset!$A:$O,12,0)</f>
        <v>Pass</v>
      </c>
      <c r="G11" s="14" t="str">
        <f t="shared" si="1"/>
        <v>Pass</v>
      </c>
    </row>
    <row r="12" spans="1:9" x14ac:dyDescent="0.25">
      <c r="A12" s="5" t="s">
        <v>55</v>
      </c>
      <c r="B12" s="7" t="str">
        <f>VLOOKUP(A12,Dataset!$A:$O,7,0)</f>
        <v>Open</v>
      </c>
      <c r="C12" s="13" t="str">
        <f>IF(VLOOKUP(A12,Dataset!$A:$O,6,0)="High","High Priority","Normal")</f>
        <v>High Priority</v>
      </c>
      <c r="D12" s="7">
        <f>VLOOKUP(A12,Dataset!$A:$O,11,0)</f>
        <v>7</v>
      </c>
      <c r="E12" s="13" t="str">
        <f t="shared" si="0"/>
        <v>Moderate</v>
      </c>
      <c r="F12" s="7" t="str">
        <f>VLOOKUP(A12,Dataset!$A:$O,12,0)</f>
        <v>Fail</v>
      </c>
      <c r="G12" s="13" t="str">
        <f t="shared" si="1"/>
        <v>Fail</v>
      </c>
    </row>
    <row r="13" spans="1:9" x14ac:dyDescent="0.25">
      <c r="A13" s="9" t="s">
        <v>57</v>
      </c>
      <c r="B13" s="11" t="str">
        <f>VLOOKUP(A13,Dataset!$A:$O,7,0)</f>
        <v>Resolved</v>
      </c>
      <c r="C13" s="14" t="str">
        <f>IF(VLOOKUP(A13,Dataset!$A:$O,6,0)="High","High Priority","Normal")</f>
        <v>High Priority</v>
      </c>
      <c r="D13" s="11">
        <f>VLOOKUP(A13,Dataset!$A:$O,11,0)</f>
        <v>6</v>
      </c>
      <c r="E13" s="14" t="str">
        <f t="shared" si="0"/>
        <v>Moderate</v>
      </c>
      <c r="F13" s="11" t="str">
        <f>VLOOKUP(A13,Dataset!$A:$O,12,0)</f>
        <v>Pass</v>
      </c>
      <c r="G13" s="14" t="str">
        <f t="shared" si="1"/>
        <v>Pass</v>
      </c>
    </row>
    <row r="14" spans="1:9" x14ac:dyDescent="0.25">
      <c r="A14" s="5" t="s">
        <v>59</v>
      </c>
      <c r="B14" s="7" t="str">
        <f>VLOOKUP(A14,Dataset!$A:$O,7,0)</f>
        <v>Open</v>
      </c>
      <c r="C14" s="13" t="str">
        <f>IF(VLOOKUP(A14,Dataset!$A:$O,6,0)="High","High Priority","Normal")</f>
        <v>Normal</v>
      </c>
      <c r="D14" s="7">
        <f>VLOOKUP(A14,Dataset!$A:$O,11,0)</f>
        <v>3</v>
      </c>
      <c r="E14" s="13" t="str">
        <f t="shared" si="0"/>
        <v>Light</v>
      </c>
      <c r="F14" s="7" t="str">
        <f>VLOOKUP(A14,Dataset!$A:$O,12,0)</f>
        <v>Fail</v>
      </c>
      <c r="G14" s="13" t="str">
        <f t="shared" si="1"/>
        <v>Fail</v>
      </c>
    </row>
    <row r="15" spans="1:9" x14ac:dyDescent="0.25">
      <c r="A15" s="9" t="s">
        <v>61</v>
      </c>
      <c r="B15" s="11" t="str">
        <f>VLOOKUP(A15,Dataset!$A:$O,7,0)</f>
        <v>Closed</v>
      </c>
      <c r="C15" s="14" t="str">
        <f>IF(VLOOKUP(A15,Dataset!$A:$O,6,0)="High","High Priority","Normal")</f>
        <v>Normal</v>
      </c>
      <c r="D15" s="11">
        <f>VLOOKUP(A15,Dataset!$A:$O,11,0)</f>
        <v>1</v>
      </c>
      <c r="E15" s="14" t="str">
        <f t="shared" si="0"/>
        <v>Light</v>
      </c>
      <c r="F15" s="11" t="str">
        <f>VLOOKUP(A15,Dataset!$A:$O,12,0)</f>
        <v>Pass</v>
      </c>
      <c r="G15" s="14" t="str">
        <f t="shared" si="1"/>
        <v>Pass</v>
      </c>
    </row>
    <row r="16" spans="1:9" x14ac:dyDescent="0.25">
      <c r="A16" s="5" t="s">
        <v>63</v>
      </c>
      <c r="B16" s="7" t="str">
        <f>VLOOKUP(A16,Dataset!$A:$O,7,0)</f>
        <v>Resolved</v>
      </c>
      <c r="C16" s="13" t="str">
        <f>IF(VLOOKUP(A16,Dataset!$A:$O,6,0)="High","High Priority","Normal")</f>
        <v>High Priority</v>
      </c>
      <c r="D16" s="7">
        <f>VLOOKUP(A16,Dataset!$A:$O,11,0)</f>
        <v>9</v>
      </c>
      <c r="E16" s="13" t="str">
        <f t="shared" si="0"/>
        <v>Heavy</v>
      </c>
      <c r="F16" s="7" t="str">
        <f>VLOOKUP(A16,Dataset!$A:$O,12,0)</f>
        <v>Pass</v>
      </c>
      <c r="G16" s="13" t="str">
        <f t="shared" si="1"/>
        <v>Pass</v>
      </c>
    </row>
    <row r="17" spans="1:7" x14ac:dyDescent="0.25">
      <c r="A17" s="9" t="s">
        <v>65</v>
      </c>
      <c r="B17" s="11" t="str">
        <f>VLOOKUP(A17,Dataset!$A:$O,7,0)</f>
        <v>Open</v>
      </c>
      <c r="C17" s="14" t="str">
        <f>IF(VLOOKUP(A17,Dataset!$A:$O,6,0)="High","High Priority","Normal")</f>
        <v>Normal</v>
      </c>
      <c r="D17" s="11">
        <f>VLOOKUP(A17,Dataset!$A:$O,11,0)</f>
        <v>5</v>
      </c>
      <c r="E17" s="14" t="str">
        <f t="shared" si="0"/>
        <v>Moderate</v>
      </c>
      <c r="F17" s="11" t="str">
        <f>VLOOKUP(A17,Dataset!$A:$O,12,0)</f>
        <v>Fail</v>
      </c>
      <c r="G17" s="14" t="str">
        <f t="shared" si="1"/>
        <v>Fail</v>
      </c>
    </row>
    <row r="18" spans="1:7" x14ac:dyDescent="0.25">
      <c r="A18" s="5" t="s">
        <v>67</v>
      </c>
      <c r="B18" s="7" t="str">
        <f>VLOOKUP(A18,Dataset!$A:$O,7,0)</f>
        <v>Closed</v>
      </c>
      <c r="C18" s="13" t="str">
        <f>IF(VLOOKUP(A18,Dataset!$A:$O,6,0)="High","High Priority","Normal")</f>
        <v>Normal</v>
      </c>
      <c r="D18" s="7">
        <f>VLOOKUP(A18,Dataset!$A:$O,11,0)</f>
        <v>4</v>
      </c>
      <c r="E18" s="13" t="str">
        <f t="shared" si="0"/>
        <v>Moderate</v>
      </c>
      <c r="F18" s="7" t="str">
        <f>VLOOKUP(A18,Dataset!$A:$O,12,0)</f>
        <v>Pass</v>
      </c>
      <c r="G18" s="13" t="str">
        <f t="shared" si="1"/>
        <v>Pass</v>
      </c>
    </row>
    <row r="19" spans="1:7" x14ac:dyDescent="0.25">
      <c r="A19" s="9" t="s">
        <v>69</v>
      </c>
      <c r="B19" s="11" t="str">
        <f>VLOOKUP(A19,Dataset!$A:$O,7,0)</f>
        <v>Resolved</v>
      </c>
      <c r="C19" s="14" t="str">
        <f>IF(VLOOKUP(A19,Dataset!$A:$O,6,0)="High","High Priority","Normal")</f>
        <v>Normal</v>
      </c>
      <c r="D19" s="11">
        <f>VLOOKUP(A19,Dataset!$A:$O,11,0)</f>
        <v>2</v>
      </c>
      <c r="E19" s="14" t="str">
        <f t="shared" si="0"/>
        <v>Light</v>
      </c>
      <c r="F19" s="11" t="str">
        <f>VLOOKUP(A19,Dataset!$A:$O,12,0)</f>
        <v>Pass</v>
      </c>
      <c r="G19" s="14" t="str">
        <f t="shared" si="1"/>
        <v>Pass</v>
      </c>
    </row>
    <row r="20" spans="1:7" x14ac:dyDescent="0.25">
      <c r="A20" s="5" t="s">
        <v>71</v>
      </c>
      <c r="B20" s="7" t="str">
        <f>VLOOKUP(A20,Dataset!$A:$O,7,0)</f>
        <v>Open</v>
      </c>
      <c r="C20" s="13" t="str">
        <f>IF(VLOOKUP(A20,Dataset!$A:$O,6,0)="High","High Priority","Normal")</f>
        <v>High Priority</v>
      </c>
      <c r="D20" s="7">
        <f>VLOOKUP(A20,Dataset!$A:$O,11,0)</f>
        <v>8</v>
      </c>
      <c r="E20" s="13" t="str">
        <f t="shared" si="0"/>
        <v>Heavy</v>
      </c>
      <c r="F20" s="7" t="str">
        <f>VLOOKUP(A20,Dataset!$A:$O,12,0)</f>
        <v>Fail</v>
      </c>
      <c r="G20" s="13" t="str">
        <f t="shared" si="1"/>
        <v>Fail</v>
      </c>
    </row>
    <row r="21" spans="1:7" x14ac:dyDescent="0.25">
      <c r="A21" s="9" t="s">
        <v>73</v>
      </c>
      <c r="B21" s="11" t="str">
        <f>VLOOKUP(A21,Dataset!$A:$O,7,0)</f>
        <v>Resolved</v>
      </c>
      <c r="C21" s="14" t="str">
        <f>IF(VLOOKUP(A21,Dataset!$A:$O,6,0)="High","High Priority","Normal")</f>
        <v>High Priority</v>
      </c>
      <c r="D21" s="11">
        <f>VLOOKUP(A21,Dataset!$A:$O,11,0)</f>
        <v>7</v>
      </c>
      <c r="E21" s="14" t="str">
        <f t="shared" si="0"/>
        <v>Moderate</v>
      </c>
      <c r="F21" s="11" t="str">
        <f>VLOOKUP(A21,Dataset!$A:$O,12,0)</f>
        <v>Pass</v>
      </c>
      <c r="G21" s="14" t="str">
        <f t="shared" si="1"/>
        <v>Pass</v>
      </c>
    </row>
    <row r="22" spans="1:7" x14ac:dyDescent="0.25">
      <c r="A22" s="5" t="s">
        <v>75</v>
      </c>
      <c r="B22" s="7" t="str">
        <f>VLOOKUP(A22,Dataset!$A:$O,7,0)</f>
        <v>Open</v>
      </c>
      <c r="C22" s="13" t="str">
        <f>IF(VLOOKUP(A22,Dataset!$A:$O,6,0)="High","High Priority","Normal")</f>
        <v>Normal</v>
      </c>
      <c r="D22" s="7">
        <f>VLOOKUP(A22,Dataset!$A:$O,11,0)</f>
        <v>3</v>
      </c>
      <c r="E22" s="13" t="str">
        <f t="shared" si="0"/>
        <v>Light</v>
      </c>
      <c r="F22" s="7" t="str">
        <f>VLOOKUP(A22,Dataset!$A:$O,12,0)</f>
        <v>Fail</v>
      </c>
      <c r="G22" s="13" t="str">
        <f t="shared" si="1"/>
        <v>Fail</v>
      </c>
    </row>
    <row r="23" spans="1:7" x14ac:dyDescent="0.25">
      <c r="A23" s="9" t="s">
        <v>77</v>
      </c>
      <c r="B23" s="11" t="str">
        <f>VLOOKUP(A23,Dataset!$A:$O,7,0)</f>
        <v>Closed</v>
      </c>
      <c r="C23" s="14" t="str">
        <f>IF(VLOOKUP(A23,Dataset!$A:$O,6,0)="High","High Priority","Normal")</f>
        <v>Normal</v>
      </c>
      <c r="D23" s="11">
        <f>VLOOKUP(A23,Dataset!$A:$O,11,0)</f>
        <v>1</v>
      </c>
      <c r="E23" s="14" t="str">
        <f t="shared" si="0"/>
        <v>Light</v>
      </c>
      <c r="F23" s="11" t="str">
        <f>VLOOKUP(A23,Dataset!$A:$O,12,0)</f>
        <v>Pass</v>
      </c>
      <c r="G23" s="14" t="str">
        <f t="shared" si="1"/>
        <v>Pass</v>
      </c>
    </row>
    <row r="25" spans="1:7" ht="21.75" customHeight="1" x14ac:dyDescent="0.25">
      <c r="A25" s="2" t="s">
        <v>102</v>
      </c>
      <c r="B25" s="2"/>
      <c r="C25" s="2"/>
      <c r="D25" s="2"/>
      <c r="E25" s="2"/>
      <c r="F25" s="2"/>
      <c r="G25" s="2"/>
    </row>
    <row r="26" spans="1:7" ht="39" customHeight="1" x14ac:dyDescent="0.25">
      <c r="A26" s="4" t="s">
        <v>0</v>
      </c>
      <c r="B26" s="4" t="s">
        <v>4</v>
      </c>
      <c r="C26" s="4" t="s">
        <v>6</v>
      </c>
      <c r="D26" s="4" t="s">
        <v>103</v>
      </c>
      <c r="E26" s="4" t="s">
        <v>104</v>
      </c>
      <c r="F26" s="4" t="s">
        <v>105</v>
      </c>
      <c r="G26" s="4" t="s">
        <v>106</v>
      </c>
    </row>
    <row r="27" spans="1:7" x14ac:dyDescent="0.25">
      <c r="A27" s="5" t="s">
        <v>15</v>
      </c>
      <c r="B27" s="7" t="str">
        <f>VLOOKUP(A27,Dataset!$A:$O,5,0)</f>
        <v>Critical</v>
      </c>
      <c r="C27" s="7" t="str">
        <f>VLOOKUP(A27,Dataset!$A:$O,7,0)</f>
        <v>Open</v>
      </c>
      <c r="D27" s="23" t="str">
        <f t="shared" ref="D27:D46" si="2">IF(AND(B27="Critical",C27="Open"),"Yes","No")</f>
        <v>Yes</v>
      </c>
      <c r="E27" s="13" t="str">
        <f t="shared" ref="E27:E46" si="3">IF(OR(B27="Critical",B27="High"),"Yes","No")</f>
        <v>Yes</v>
      </c>
      <c r="F27" s="15" t="str">
        <f>IF(AND(C27="Resolved",VLOOKUP(A27,Dataset!$A:$O,12,0)="Pass"),"✅ Done","⏳ Pending")</f>
        <v>⏳ Pending</v>
      </c>
      <c r="G27" s="17" t="str">
        <f t="shared" ref="G27:G46" si="4">IF(AND(B27="Critical",C27="Open"),"Escalate",IF(AND(B27="High",C27="Open"),"Monitor","OK"))</f>
        <v>Escalate</v>
      </c>
    </row>
    <row r="28" spans="1:7" x14ac:dyDescent="0.25">
      <c r="A28" s="9" t="s">
        <v>25</v>
      </c>
      <c r="B28" s="11" t="str">
        <f>VLOOKUP(A28,Dataset!$A:$O,5,0)</f>
        <v>High</v>
      </c>
      <c r="C28" s="11" t="str">
        <f>VLOOKUP(A28,Dataset!$A:$O,7,0)</f>
        <v>Resolved</v>
      </c>
      <c r="D28" s="24" t="str">
        <f t="shared" si="2"/>
        <v>No</v>
      </c>
      <c r="E28" s="14" t="str">
        <f t="shared" si="3"/>
        <v>Yes</v>
      </c>
      <c r="F28" s="16" t="str">
        <f>IF(AND(C28="Resolved",VLOOKUP(A28,Dataset!$A:$O,12,0)="Pass"),"✅ Done","⏳ Pending")</f>
        <v>✅ Done</v>
      </c>
      <c r="G28" s="18" t="str">
        <f t="shared" si="4"/>
        <v>OK</v>
      </c>
    </row>
    <row r="29" spans="1:7" x14ac:dyDescent="0.25">
      <c r="A29" s="5" t="s">
        <v>31</v>
      </c>
      <c r="B29" s="7" t="str">
        <f>VLOOKUP(A29,Dataset!$A:$O,5,0)</f>
        <v>Medium</v>
      </c>
      <c r="C29" s="7" t="str">
        <f>VLOOKUP(A29,Dataset!$A:$O,7,0)</f>
        <v>Open</v>
      </c>
      <c r="D29" s="23" t="str">
        <f t="shared" si="2"/>
        <v>No</v>
      </c>
      <c r="E29" s="13" t="str">
        <f t="shared" si="3"/>
        <v>No</v>
      </c>
      <c r="F29" s="15" t="str">
        <f>IF(AND(C29="Resolved",VLOOKUP(A29,Dataset!$A:$O,12,0)="Pass"),"✅ Done","⏳ Pending")</f>
        <v>⏳ Pending</v>
      </c>
      <c r="G29" s="17" t="str">
        <f t="shared" si="4"/>
        <v>OK</v>
      </c>
    </row>
    <row r="30" spans="1:7" x14ac:dyDescent="0.25">
      <c r="A30" s="9" t="s">
        <v>37</v>
      </c>
      <c r="B30" s="11" t="str">
        <f>VLOOKUP(A30,Dataset!$A:$O,5,0)</f>
        <v>Low</v>
      </c>
      <c r="C30" s="11" t="str">
        <f>VLOOKUP(A30,Dataset!$A:$O,7,0)</f>
        <v>Closed</v>
      </c>
      <c r="D30" s="24" t="str">
        <f t="shared" si="2"/>
        <v>No</v>
      </c>
      <c r="E30" s="14" t="str">
        <f t="shared" si="3"/>
        <v>No</v>
      </c>
      <c r="F30" s="16" t="str">
        <f>IF(AND(C30="Resolved",VLOOKUP(A30,Dataset!$A:$O,12,0)="Pass"),"✅ Done","⏳ Pending")</f>
        <v>⏳ Pending</v>
      </c>
      <c r="G30" s="18" t="str">
        <f t="shared" si="4"/>
        <v>OK</v>
      </c>
    </row>
    <row r="31" spans="1:7" x14ac:dyDescent="0.25">
      <c r="A31" s="5" t="s">
        <v>42</v>
      </c>
      <c r="B31" s="7" t="str">
        <f>VLOOKUP(A31,Dataset!$A:$O,5,0)</f>
        <v>Critical</v>
      </c>
      <c r="C31" s="7" t="str">
        <f>VLOOKUP(A31,Dataset!$A:$O,7,0)</f>
        <v>Resolved</v>
      </c>
      <c r="D31" s="23" t="str">
        <f t="shared" si="2"/>
        <v>No</v>
      </c>
      <c r="E31" s="13" t="str">
        <f t="shared" si="3"/>
        <v>Yes</v>
      </c>
      <c r="F31" s="15" t="str">
        <f>IF(AND(C31="Resolved",VLOOKUP(A31,Dataset!$A:$O,12,0)="Pass"),"✅ Done","⏳ Pending")</f>
        <v>✅ Done</v>
      </c>
      <c r="G31" s="17" t="str">
        <f t="shared" si="4"/>
        <v>OK</v>
      </c>
    </row>
    <row r="32" spans="1:7" x14ac:dyDescent="0.25">
      <c r="A32" s="9" t="s">
        <v>46</v>
      </c>
      <c r="B32" s="11" t="str">
        <f>VLOOKUP(A32,Dataset!$A:$O,5,0)</f>
        <v>High</v>
      </c>
      <c r="C32" s="11" t="str">
        <f>VLOOKUP(A32,Dataset!$A:$O,7,0)</f>
        <v>Open</v>
      </c>
      <c r="D32" s="24" t="str">
        <f t="shared" si="2"/>
        <v>No</v>
      </c>
      <c r="E32" s="14" t="str">
        <f t="shared" si="3"/>
        <v>Yes</v>
      </c>
      <c r="F32" s="16" t="str">
        <f>IF(AND(C32="Resolved",VLOOKUP(A32,Dataset!$A:$O,12,0)="Pass"),"✅ Done","⏳ Pending")</f>
        <v>⏳ Pending</v>
      </c>
      <c r="G32" s="18" t="str">
        <f t="shared" si="4"/>
        <v>Monitor</v>
      </c>
    </row>
    <row r="33" spans="1:7" x14ac:dyDescent="0.25">
      <c r="A33" s="5" t="s">
        <v>51</v>
      </c>
      <c r="B33" s="7" t="str">
        <f>VLOOKUP(A33,Dataset!$A:$O,5,0)</f>
        <v>Medium</v>
      </c>
      <c r="C33" s="7" t="str">
        <f>VLOOKUP(A33,Dataset!$A:$O,7,0)</f>
        <v>Closed</v>
      </c>
      <c r="D33" s="23" t="str">
        <f t="shared" si="2"/>
        <v>No</v>
      </c>
      <c r="E33" s="13" t="str">
        <f t="shared" si="3"/>
        <v>No</v>
      </c>
      <c r="F33" s="15" t="str">
        <f>IF(AND(C33="Resolved",VLOOKUP(A33,Dataset!$A:$O,12,0)="Pass"),"✅ Done","⏳ Pending")</f>
        <v>⏳ Pending</v>
      </c>
      <c r="G33" s="17" t="str">
        <f t="shared" si="4"/>
        <v>OK</v>
      </c>
    </row>
    <row r="34" spans="1:7" x14ac:dyDescent="0.25">
      <c r="A34" s="9" t="s">
        <v>53</v>
      </c>
      <c r="B34" s="11" t="str">
        <f>VLOOKUP(A34,Dataset!$A:$O,5,0)</f>
        <v>Low</v>
      </c>
      <c r="C34" s="11" t="str">
        <f>VLOOKUP(A34,Dataset!$A:$O,7,0)</f>
        <v>Resolved</v>
      </c>
      <c r="D34" s="24" t="str">
        <f t="shared" si="2"/>
        <v>No</v>
      </c>
      <c r="E34" s="14" t="str">
        <f t="shared" si="3"/>
        <v>No</v>
      </c>
      <c r="F34" s="16" t="str">
        <f>IF(AND(C34="Resolved",VLOOKUP(A34,Dataset!$A:$O,12,0)="Pass"),"✅ Done","⏳ Pending")</f>
        <v>✅ Done</v>
      </c>
      <c r="G34" s="18" t="str">
        <f t="shared" si="4"/>
        <v>OK</v>
      </c>
    </row>
    <row r="35" spans="1:7" x14ac:dyDescent="0.25">
      <c r="A35" s="5" t="s">
        <v>55</v>
      </c>
      <c r="B35" s="7" t="str">
        <f>VLOOKUP(A35,Dataset!$A:$O,5,0)</f>
        <v>Critical</v>
      </c>
      <c r="C35" s="7" t="str">
        <f>VLOOKUP(A35,Dataset!$A:$O,7,0)</f>
        <v>Open</v>
      </c>
      <c r="D35" s="23" t="str">
        <f t="shared" si="2"/>
        <v>Yes</v>
      </c>
      <c r="E35" s="13" t="str">
        <f t="shared" si="3"/>
        <v>Yes</v>
      </c>
      <c r="F35" s="15" t="str">
        <f>IF(AND(C35="Resolved",VLOOKUP(A35,Dataset!$A:$O,12,0)="Pass"),"✅ Done","⏳ Pending")</f>
        <v>⏳ Pending</v>
      </c>
      <c r="G35" s="17" t="str">
        <f t="shared" si="4"/>
        <v>Escalate</v>
      </c>
    </row>
    <row r="36" spans="1:7" x14ac:dyDescent="0.25">
      <c r="A36" s="9" t="s">
        <v>57</v>
      </c>
      <c r="B36" s="11" t="str">
        <f>VLOOKUP(A36,Dataset!$A:$O,5,0)</f>
        <v>High</v>
      </c>
      <c r="C36" s="11" t="str">
        <f>VLOOKUP(A36,Dataset!$A:$O,7,0)</f>
        <v>Resolved</v>
      </c>
      <c r="D36" s="24" t="str">
        <f t="shared" si="2"/>
        <v>No</v>
      </c>
      <c r="E36" s="14" t="str">
        <f t="shared" si="3"/>
        <v>Yes</v>
      </c>
      <c r="F36" s="16" t="str">
        <f>IF(AND(C36="Resolved",VLOOKUP(A36,Dataset!$A:$O,12,0)="Pass"),"✅ Done","⏳ Pending")</f>
        <v>✅ Done</v>
      </c>
      <c r="G36" s="18" t="str">
        <f t="shared" si="4"/>
        <v>OK</v>
      </c>
    </row>
    <row r="37" spans="1:7" x14ac:dyDescent="0.25">
      <c r="A37" s="5" t="s">
        <v>59</v>
      </c>
      <c r="B37" s="7" t="str">
        <f>VLOOKUP(A37,Dataset!$A:$O,5,0)</f>
        <v>Medium</v>
      </c>
      <c r="C37" s="7" t="str">
        <f>VLOOKUP(A37,Dataset!$A:$O,7,0)</f>
        <v>Open</v>
      </c>
      <c r="D37" s="23" t="str">
        <f t="shared" si="2"/>
        <v>No</v>
      </c>
      <c r="E37" s="13" t="str">
        <f t="shared" si="3"/>
        <v>No</v>
      </c>
      <c r="F37" s="15" t="str">
        <f>IF(AND(C37="Resolved",VLOOKUP(A37,Dataset!$A:$O,12,0)="Pass"),"✅ Done","⏳ Pending")</f>
        <v>⏳ Pending</v>
      </c>
      <c r="G37" s="17" t="str">
        <f t="shared" si="4"/>
        <v>OK</v>
      </c>
    </row>
    <row r="38" spans="1:7" x14ac:dyDescent="0.25">
      <c r="A38" s="9" t="s">
        <v>61</v>
      </c>
      <c r="B38" s="11" t="str">
        <f>VLOOKUP(A38,Dataset!$A:$O,5,0)</f>
        <v>Low</v>
      </c>
      <c r="C38" s="11" t="str">
        <f>VLOOKUP(A38,Dataset!$A:$O,7,0)</f>
        <v>Closed</v>
      </c>
      <c r="D38" s="24" t="str">
        <f t="shared" si="2"/>
        <v>No</v>
      </c>
      <c r="E38" s="14" t="str">
        <f t="shared" si="3"/>
        <v>No</v>
      </c>
      <c r="F38" s="16" t="str">
        <f>IF(AND(C38="Resolved",VLOOKUP(A38,Dataset!$A:$O,12,0)="Pass"),"✅ Done","⏳ Pending")</f>
        <v>⏳ Pending</v>
      </c>
      <c r="G38" s="18" t="str">
        <f t="shared" si="4"/>
        <v>OK</v>
      </c>
    </row>
    <row r="39" spans="1:7" x14ac:dyDescent="0.25">
      <c r="A39" s="5" t="s">
        <v>63</v>
      </c>
      <c r="B39" s="7" t="str">
        <f>VLOOKUP(A39,Dataset!$A:$O,5,0)</f>
        <v>Critical</v>
      </c>
      <c r="C39" s="7" t="str">
        <f>VLOOKUP(A39,Dataset!$A:$O,7,0)</f>
        <v>Resolved</v>
      </c>
      <c r="D39" s="23" t="str">
        <f t="shared" si="2"/>
        <v>No</v>
      </c>
      <c r="E39" s="13" t="str">
        <f t="shared" si="3"/>
        <v>Yes</v>
      </c>
      <c r="F39" s="15" t="str">
        <f>IF(AND(C39="Resolved",VLOOKUP(A39,Dataset!$A:$O,12,0)="Pass"),"✅ Done","⏳ Pending")</f>
        <v>✅ Done</v>
      </c>
      <c r="G39" s="17" t="str">
        <f t="shared" si="4"/>
        <v>OK</v>
      </c>
    </row>
    <row r="40" spans="1:7" x14ac:dyDescent="0.25">
      <c r="A40" s="9" t="s">
        <v>65</v>
      </c>
      <c r="B40" s="11" t="str">
        <f>VLOOKUP(A40,Dataset!$A:$O,5,0)</f>
        <v>High</v>
      </c>
      <c r="C40" s="11" t="str">
        <f>VLOOKUP(A40,Dataset!$A:$O,7,0)</f>
        <v>Open</v>
      </c>
      <c r="D40" s="24" t="str">
        <f t="shared" si="2"/>
        <v>No</v>
      </c>
      <c r="E40" s="14" t="str">
        <f t="shared" si="3"/>
        <v>Yes</v>
      </c>
      <c r="F40" s="16" t="str">
        <f>IF(AND(C40="Resolved",VLOOKUP(A40,Dataset!$A:$O,12,0)="Pass"),"✅ Done","⏳ Pending")</f>
        <v>⏳ Pending</v>
      </c>
      <c r="G40" s="18" t="str">
        <f t="shared" si="4"/>
        <v>Monitor</v>
      </c>
    </row>
    <row r="41" spans="1:7" x14ac:dyDescent="0.25">
      <c r="A41" s="5" t="s">
        <v>67</v>
      </c>
      <c r="B41" s="7" t="str">
        <f>VLOOKUP(A41,Dataset!$A:$O,5,0)</f>
        <v>Medium</v>
      </c>
      <c r="C41" s="7" t="str">
        <f>VLOOKUP(A41,Dataset!$A:$O,7,0)</f>
        <v>Closed</v>
      </c>
      <c r="D41" s="23" t="str">
        <f t="shared" si="2"/>
        <v>No</v>
      </c>
      <c r="E41" s="13" t="str">
        <f t="shared" si="3"/>
        <v>No</v>
      </c>
      <c r="F41" s="15" t="str">
        <f>IF(AND(C41="Resolved",VLOOKUP(A41,Dataset!$A:$O,12,0)="Pass"),"✅ Done","⏳ Pending")</f>
        <v>⏳ Pending</v>
      </c>
      <c r="G41" s="17" t="str">
        <f t="shared" si="4"/>
        <v>OK</v>
      </c>
    </row>
    <row r="42" spans="1:7" x14ac:dyDescent="0.25">
      <c r="A42" s="9" t="s">
        <v>69</v>
      </c>
      <c r="B42" s="11" t="str">
        <f>VLOOKUP(A42,Dataset!$A:$O,5,0)</f>
        <v>Low</v>
      </c>
      <c r="C42" s="11" t="str">
        <f>VLOOKUP(A42,Dataset!$A:$O,7,0)</f>
        <v>Resolved</v>
      </c>
      <c r="D42" s="24" t="str">
        <f t="shared" si="2"/>
        <v>No</v>
      </c>
      <c r="E42" s="14" t="str">
        <f t="shared" si="3"/>
        <v>No</v>
      </c>
      <c r="F42" s="16" t="str">
        <f>IF(AND(C42="Resolved",VLOOKUP(A42,Dataset!$A:$O,12,0)="Pass"),"✅ Done","⏳ Pending")</f>
        <v>✅ Done</v>
      </c>
      <c r="G42" s="18" t="str">
        <f t="shared" si="4"/>
        <v>OK</v>
      </c>
    </row>
    <row r="43" spans="1:7" x14ac:dyDescent="0.25">
      <c r="A43" s="5" t="s">
        <v>71</v>
      </c>
      <c r="B43" s="7" t="str">
        <f>VLOOKUP(A43,Dataset!$A:$O,5,0)</f>
        <v>Critical</v>
      </c>
      <c r="C43" s="7" t="str">
        <f>VLOOKUP(A43,Dataset!$A:$O,7,0)</f>
        <v>Open</v>
      </c>
      <c r="D43" s="23" t="str">
        <f t="shared" si="2"/>
        <v>Yes</v>
      </c>
      <c r="E43" s="13" t="str">
        <f t="shared" si="3"/>
        <v>Yes</v>
      </c>
      <c r="F43" s="15" t="str">
        <f>IF(AND(C43="Resolved",VLOOKUP(A43,Dataset!$A:$O,12,0)="Pass"),"✅ Done","⏳ Pending")</f>
        <v>⏳ Pending</v>
      </c>
      <c r="G43" s="17" t="str">
        <f t="shared" si="4"/>
        <v>Escalate</v>
      </c>
    </row>
    <row r="44" spans="1:7" x14ac:dyDescent="0.25">
      <c r="A44" s="9" t="s">
        <v>73</v>
      </c>
      <c r="B44" s="11" t="str">
        <f>VLOOKUP(A44,Dataset!$A:$O,5,0)</f>
        <v>High</v>
      </c>
      <c r="C44" s="11" t="str">
        <f>VLOOKUP(A44,Dataset!$A:$O,7,0)</f>
        <v>Resolved</v>
      </c>
      <c r="D44" s="24" t="str">
        <f t="shared" si="2"/>
        <v>No</v>
      </c>
      <c r="E44" s="14" t="str">
        <f t="shared" si="3"/>
        <v>Yes</v>
      </c>
      <c r="F44" s="16" t="str">
        <f>IF(AND(C44="Resolved",VLOOKUP(A44,Dataset!$A:$O,12,0)="Pass"),"✅ Done","⏳ Pending")</f>
        <v>✅ Done</v>
      </c>
      <c r="G44" s="18" t="str">
        <f t="shared" si="4"/>
        <v>OK</v>
      </c>
    </row>
    <row r="45" spans="1:7" x14ac:dyDescent="0.25">
      <c r="A45" s="5" t="s">
        <v>75</v>
      </c>
      <c r="B45" s="7" t="str">
        <f>VLOOKUP(A45,Dataset!$A:$O,5,0)</f>
        <v>Medium</v>
      </c>
      <c r="C45" s="7" t="str">
        <f>VLOOKUP(A45,Dataset!$A:$O,7,0)</f>
        <v>Open</v>
      </c>
      <c r="D45" s="23" t="str">
        <f t="shared" si="2"/>
        <v>No</v>
      </c>
      <c r="E45" s="13" t="str">
        <f t="shared" si="3"/>
        <v>No</v>
      </c>
      <c r="F45" s="15" t="str">
        <f>IF(AND(C45="Resolved",VLOOKUP(A45,Dataset!$A:$O,12,0)="Pass"),"✅ Done","⏳ Pending")</f>
        <v>⏳ Pending</v>
      </c>
      <c r="G45" s="17" t="str">
        <f t="shared" si="4"/>
        <v>OK</v>
      </c>
    </row>
    <row r="46" spans="1:7" x14ac:dyDescent="0.25">
      <c r="A46" s="9" t="s">
        <v>77</v>
      </c>
      <c r="B46" s="11" t="str">
        <f>VLOOKUP(A46,Dataset!$A:$O,5,0)</f>
        <v>Low</v>
      </c>
      <c r="C46" s="11" t="str">
        <f>VLOOKUP(A46,Dataset!$A:$O,7,0)</f>
        <v>Closed</v>
      </c>
      <c r="D46" s="24" t="str">
        <f t="shared" si="2"/>
        <v>No</v>
      </c>
      <c r="E46" s="14" t="str">
        <f t="shared" si="3"/>
        <v>No</v>
      </c>
      <c r="F46" s="16" t="str">
        <f>IF(AND(C46="Resolved",VLOOKUP(A46,Dataset!$A:$O,12,0)="Pass"),"✅ Done","⏳ Pending")</f>
        <v>⏳ Pending</v>
      </c>
      <c r="G46" s="18" t="str">
        <f t="shared" si="4"/>
        <v>OK</v>
      </c>
    </row>
  </sheetData>
  <mergeCells count="3">
    <mergeCell ref="A1:I1"/>
    <mergeCell ref="A2:G2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pane ySplit="2" topLeftCell="A26" activePane="bottomLeft" state="frozen"/>
      <selection pane="bottomLeft" activeCell="F15" sqref="F15"/>
    </sheetView>
  </sheetViews>
  <sheetFormatPr defaultColWidth="8.7109375" defaultRowHeight="15" x14ac:dyDescent="0.25"/>
  <cols>
    <col min="1" max="1" width="16.7109375" customWidth="1"/>
    <col min="2" max="3" width="14" customWidth="1"/>
    <col min="4" max="4" width="20" customWidth="1"/>
    <col min="5" max="5" width="22" customWidth="1"/>
    <col min="6" max="6" width="20" customWidth="1"/>
    <col min="7" max="8" width="12" customWidth="1"/>
  </cols>
  <sheetData>
    <row r="1" spans="1:11" ht="27.75" customHeight="1" x14ac:dyDescent="0.25">
      <c r="A1" s="3" t="s">
        <v>107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1.75" customHeight="1" x14ac:dyDescent="0.25">
      <c r="A2" s="2" t="s">
        <v>108</v>
      </c>
      <c r="B2" s="2"/>
      <c r="C2" s="2"/>
      <c r="D2" s="2"/>
      <c r="E2" s="2"/>
      <c r="F2" s="2"/>
      <c r="G2" s="2"/>
    </row>
    <row r="3" spans="1:11" ht="30" customHeight="1" x14ac:dyDescent="0.25">
      <c r="A3" s="1" t="s">
        <v>109</v>
      </c>
      <c r="B3" s="1"/>
      <c r="C3" s="1"/>
      <c r="D3" s="1"/>
      <c r="E3" s="1"/>
      <c r="F3" s="1"/>
      <c r="G3" s="1"/>
    </row>
    <row r="4" spans="1:11" x14ac:dyDescent="0.25">
      <c r="A4" s="4" t="s">
        <v>110</v>
      </c>
      <c r="B4" s="4" t="s">
        <v>111</v>
      </c>
      <c r="C4" s="4" t="s">
        <v>112</v>
      </c>
    </row>
    <row r="5" spans="1:11" ht="26.25" customHeight="1" x14ac:dyDescent="0.25">
      <c r="A5" s="25">
        <f ca="1">TODAY()</f>
        <v>46192</v>
      </c>
      <c r="B5" s="26">
        <f ca="1">TODAY()</f>
        <v>46192</v>
      </c>
      <c r="C5" s="8" t="s">
        <v>113</v>
      </c>
    </row>
    <row r="6" spans="1:11" ht="26.25" customHeight="1" x14ac:dyDescent="0.25">
      <c r="A6" s="27">
        <f ca="1">NOW()</f>
        <v>46192.616932638892</v>
      </c>
      <c r="B6" s="28">
        <f ca="1">NOW()</f>
        <v>46192.616932638892</v>
      </c>
      <c r="C6" s="12" t="s">
        <v>114</v>
      </c>
    </row>
    <row r="7" spans="1:11" ht="26.25" customHeight="1" x14ac:dyDescent="0.25">
      <c r="A7" s="25">
        <f>DATE(2024,3,15)</f>
        <v>45366</v>
      </c>
      <c r="B7" s="26">
        <f>DATE(2024,3,15)</f>
        <v>45366</v>
      </c>
      <c r="C7" s="8" t="s">
        <v>115</v>
      </c>
    </row>
    <row r="8" spans="1:11" x14ac:dyDescent="0.25">
      <c r="A8" s="29">
        <f ca="1">YEAR(TODAY())</f>
        <v>2026</v>
      </c>
      <c r="B8" s="28">
        <f ca="1">YEAR(TODAY())</f>
        <v>2026</v>
      </c>
      <c r="C8" s="12" t="s">
        <v>116</v>
      </c>
    </row>
    <row r="9" spans="1:11" ht="26.25" customHeight="1" x14ac:dyDescent="0.25">
      <c r="A9" s="30">
        <f ca="1">MONTH(TODAY())</f>
        <v>6</v>
      </c>
      <c r="B9" s="26">
        <f ca="1">MONTH(TODAY())</f>
        <v>6</v>
      </c>
      <c r="C9" s="8" t="s">
        <v>117</v>
      </c>
    </row>
    <row r="10" spans="1:11" x14ac:dyDescent="0.25">
      <c r="A10" s="29">
        <f ca="1">DAY(TODAY())</f>
        <v>19</v>
      </c>
      <c r="B10" s="28">
        <f ca="1">DAY(TODAY())</f>
        <v>19</v>
      </c>
      <c r="C10" s="12" t="s">
        <v>118</v>
      </c>
    </row>
    <row r="11" spans="1:11" ht="39" customHeight="1" x14ac:dyDescent="0.25">
      <c r="A11" s="30">
        <f ca="1">TODAY()-DATE(2024,1,1)</f>
        <v>900</v>
      </c>
      <c r="B11" s="26">
        <f ca="1">TODAY()-DATE(2024,1,1)</f>
        <v>900</v>
      </c>
      <c r="C11" s="8" t="s">
        <v>119</v>
      </c>
    </row>
    <row r="13" spans="1:11" ht="21.75" customHeight="1" x14ac:dyDescent="0.25">
      <c r="A13" s="2" t="s">
        <v>120</v>
      </c>
      <c r="B13" s="2"/>
      <c r="C13" s="2"/>
      <c r="D13" s="2"/>
      <c r="E13" s="2"/>
      <c r="F13" s="2"/>
      <c r="G13" s="2"/>
      <c r="H13" s="2"/>
      <c r="I13" s="2"/>
    </row>
    <row r="14" spans="1:11" ht="26.25" customHeight="1" x14ac:dyDescent="0.25">
      <c r="A14" s="4" t="s">
        <v>0</v>
      </c>
      <c r="B14" s="4" t="s">
        <v>121</v>
      </c>
      <c r="C14" s="4" t="s">
        <v>28</v>
      </c>
      <c r="D14" s="4" t="s">
        <v>122</v>
      </c>
      <c r="E14" s="4" t="s">
        <v>123</v>
      </c>
      <c r="F14" s="4" t="s">
        <v>124</v>
      </c>
      <c r="G14" s="4" t="s">
        <v>125</v>
      </c>
      <c r="H14" s="4" t="s">
        <v>6</v>
      </c>
    </row>
    <row r="15" spans="1:11" x14ac:dyDescent="0.25">
      <c r="A15" s="5" t="s">
        <v>15</v>
      </c>
      <c r="B15" s="31">
        <f>VLOOKUP(A15,Dataset!$A:$O,8,0)</f>
        <v>45296</v>
      </c>
      <c r="C15" s="31">
        <f>IFERROR(VLOOKUP(A15,Dataset!$A:$O,9,0),"Open")</f>
        <v>0</v>
      </c>
      <c r="D15" s="13" t="str">
        <f t="shared" ref="D15:D34" ca="1" si="0">IFERROR(DATEDIF(B15,IF(C15="Open",TODAY(),C15),"D"),"—")</f>
        <v>—</v>
      </c>
      <c r="E15" s="13">
        <f t="shared" ref="E15:E34" ca="1" si="1">IFERROR(NETWORKDAYS(B15,IF(C15="Open",TODAY(),C15)),"—")</f>
        <v>-32355</v>
      </c>
      <c r="F15" s="32">
        <f t="shared" ref="F15:F34" si="2">IFERROR(EOMONTH(B15,0),"—")</f>
        <v>45322</v>
      </c>
      <c r="G15" s="17">
        <f t="shared" ref="G15:G34" si="3">IFERROR(WEEKNUM(B15,2),"—")</f>
        <v>1</v>
      </c>
      <c r="H15" s="7" t="str">
        <f>VLOOKUP(A15,Dataset!$A:$O,7,0)</f>
        <v>Open</v>
      </c>
    </row>
    <row r="16" spans="1:11" x14ac:dyDescent="0.25">
      <c r="A16" s="9" t="s">
        <v>25</v>
      </c>
      <c r="B16" s="33">
        <f>VLOOKUP(A16,Dataset!$A:$O,8,0)</f>
        <v>45297</v>
      </c>
      <c r="C16" s="33">
        <f>IFERROR(VLOOKUP(A16,Dataset!$A:$O,9,0),"Open")</f>
        <v>45299</v>
      </c>
      <c r="D16" s="14">
        <f t="shared" ca="1" si="0"/>
        <v>2</v>
      </c>
      <c r="E16" s="14">
        <f t="shared" ca="1" si="1"/>
        <v>1</v>
      </c>
      <c r="F16" s="34">
        <f t="shared" si="2"/>
        <v>45322</v>
      </c>
      <c r="G16" s="18">
        <f t="shared" si="3"/>
        <v>1</v>
      </c>
      <c r="H16" s="11" t="str">
        <f>VLOOKUP(A16,Dataset!$A:$O,7,0)</f>
        <v>Resolved</v>
      </c>
    </row>
    <row r="17" spans="1:8" x14ac:dyDescent="0.25">
      <c r="A17" s="5" t="s">
        <v>31</v>
      </c>
      <c r="B17" s="31">
        <f>VLOOKUP(A17,Dataset!$A:$O,8,0)</f>
        <v>45298</v>
      </c>
      <c r="C17" s="31">
        <f>IFERROR(VLOOKUP(A17,Dataset!$A:$O,9,0),"Open")</f>
        <v>0</v>
      </c>
      <c r="D17" s="13" t="str">
        <f t="shared" ca="1" si="0"/>
        <v>—</v>
      </c>
      <c r="E17" s="13">
        <f t="shared" ca="1" si="1"/>
        <v>-32355</v>
      </c>
      <c r="F17" s="32">
        <f t="shared" si="2"/>
        <v>45322</v>
      </c>
      <c r="G17" s="17">
        <f t="shared" si="3"/>
        <v>1</v>
      </c>
      <c r="H17" s="7" t="str">
        <f>VLOOKUP(A17,Dataset!$A:$O,7,0)</f>
        <v>Open</v>
      </c>
    </row>
    <row r="18" spans="1:8" x14ac:dyDescent="0.25">
      <c r="A18" s="9" t="s">
        <v>37</v>
      </c>
      <c r="B18" s="33">
        <f>VLOOKUP(A18,Dataset!$A:$O,8,0)</f>
        <v>45299</v>
      </c>
      <c r="C18" s="33">
        <f>IFERROR(VLOOKUP(A18,Dataset!$A:$O,9,0),"Open")</f>
        <v>45300</v>
      </c>
      <c r="D18" s="14">
        <f t="shared" ca="1" si="0"/>
        <v>1</v>
      </c>
      <c r="E18" s="14">
        <f t="shared" ca="1" si="1"/>
        <v>2</v>
      </c>
      <c r="F18" s="34">
        <f t="shared" si="2"/>
        <v>45322</v>
      </c>
      <c r="G18" s="18">
        <f t="shared" si="3"/>
        <v>2</v>
      </c>
      <c r="H18" s="11" t="str">
        <f>VLOOKUP(A18,Dataset!$A:$O,7,0)</f>
        <v>Closed</v>
      </c>
    </row>
    <row r="19" spans="1:8" x14ac:dyDescent="0.25">
      <c r="A19" s="5" t="s">
        <v>42</v>
      </c>
      <c r="B19" s="31">
        <f>VLOOKUP(A19,Dataset!$A:$O,8,0)</f>
        <v>45300</v>
      </c>
      <c r="C19" s="31">
        <f>IFERROR(VLOOKUP(A19,Dataset!$A:$O,9,0),"Open")</f>
        <v>45302</v>
      </c>
      <c r="D19" s="13">
        <f t="shared" ca="1" si="0"/>
        <v>2</v>
      </c>
      <c r="E19" s="13">
        <f t="shared" ca="1" si="1"/>
        <v>3</v>
      </c>
      <c r="F19" s="32">
        <f t="shared" si="2"/>
        <v>45322</v>
      </c>
      <c r="G19" s="17">
        <f t="shared" si="3"/>
        <v>2</v>
      </c>
      <c r="H19" s="7" t="str">
        <f>VLOOKUP(A19,Dataset!$A:$O,7,0)</f>
        <v>Resolved</v>
      </c>
    </row>
    <row r="20" spans="1:8" x14ac:dyDescent="0.25">
      <c r="A20" s="9" t="s">
        <v>46</v>
      </c>
      <c r="B20" s="33">
        <f>VLOOKUP(A20,Dataset!$A:$O,8,0)</f>
        <v>45301</v>
      </c>
      <c r="C20" s="33">
        <f>IFERROR(VLOOKUP(A20,Dataset!$A:$O,9,0),"Open")</f>
        <v>0</v>
      </c>
      <c r="D20" s="14" t="str">
        <f t="shared" ca="1" si="0"/>
        <v>—</v>
      </c>
      <c r="E20" s="14">
        <f t="shared" ca="1" si="1"/>
        <v>-32358</v>
      </c>
      <c r="F20" s="34">
        <f t="shared" si="2"/>
        <v>45322</v>
      </c>
      <c r="G20" s="18">
        <f t="shared" si="3"/>
        <v>2</v>
      </c>
      <c r="H20" s="11" t="str">
        <f>VLOOKUP(A20,Dataset!$A:$O,7,0)</f>
        <v>Open</v>
      </c>
    </row>
    <row r="21" spans="1:8" x14ac:dyDescent="0.25">
      <c r="A21" s="5" t="s">
        <v>51</v>
      </c>
      <c r="B21" s="31">
        <f>VLOOKUP(A21,Dataset!$A:$O,8,0)</f>
        <v>45302</v>
      </c>
      <c r="C21" s="31">
        <f>IFERROR(VLOOKUP(A21,Dataset!$A:$O,9,0),"Open")</f>
        <v>45304</v>
      </c>
      <c r="D21" s="13">
        <f t="shared" ca="1" si="0"/>
        <v>2</v>
      </c>
      <c r="E21" s="13">
        <f t="shared" ca="1" si="1"/>
        <v>2</v>
      </c>
      <c r="F21" s="32">
        <f t="shared" si="2"/>
        <v>45322</v>
      </c>
      <c r="G21" s="17">
        <f t="shared" si="3"/>
        <v>2</v>
      </c>
      <c r="H21" s="7" t="str">
        <f>VLOOKUP(A21,Dataset!$A:$O,7,0)</f>
        <v>Closed</v>
      </c>
    </row>
    <row r="22" spans="1:8" x14ac:dyDescent="0.25">
      <c r="A22" s="9" t="s">
        <v>53</v>
      </c>
      <c r="B22" s="33">
        <f>VLOOKUP(A22,Dataset!$A:$O,8,0)</f>
        <v>45303</v>
      </c>
      <c r="C22" s="33">
        <f>IFERROR(VLOOKUP(A22,Dataset!$A:$O,9,0),"Open")</f>
        <v>45305</v>
      </c>
      <c r="D22" s="14">
        <f t="shared" ca="1" si="0"/>
        <v>2</v>
      </c>
      <c r="E22" s="14">
        <f t="shared" ca="1" si="1"/>
        <v>1</v>
      </c>
      <c r="F22" s="34">
        <f t="shared" si="2"/>
        <v>45322</v>
      </c>
      <c r="G22" s="18">
        <f t="shared" si="3"/>
        <v>2</v>
      </c>
      <c r="H22" s="11" t="str">
        <f>VLOOKUP(A22,Dataset!$A:$O,7,0)</f>
        <v>Resolved</v>
      </c>
    </row>
    <row r="23" spans="1:8" x14ac:dyDescent="0.25">
      <c r="A23" s="5" t="s">
        <v>55</v>
      </c>
      <c r="B23" s="31">
        <f>VLOOKUP(A23,Dataset!$A:$O,8,0)</f>
        <v>45304</v>
      </c>
      <c r="C23" s="31">
        <f>IFERROR(VLOOKUP(A23,Dataset!$A:$O,9,0),"Open")</f>
        <v>0</v>
      </c>
      <c r="D23" s="13" t="str">
        <f t="shared" ca="1" si="0"/>
        <v>—</v>
      </c>
      <c r="E23" s="13">
        <f t="shared" ca="1" si="1"/>
        <v>-32360</v>
      </c>
      <c r="F23" s="32">
        <f t="shared" si="2"/>
        <v>45322</v>
      </c>
      <c r="G23" s="17">
        <f t="shared" si="3"/>
        <v>2</v>
      </c>
      <c r="H23" s="7" t="str">
        <f>VLOOKUP(A23,Dataset!$A:$O,7,0)</f>
        <v>Open</v>
      </c>
    </row>
    <row r="24" spans="1:8" x14ac:dyDescent="0.25">
      <c r="A24" s="9" t="s">
        <v>57</v>
      </c>
      <c r="B24" s="33">
        <f>VLOOKUP(A24,Dataset!$A:$O,8,0)</f>
        <v>45305</v>
      </c>
      <c r="C24" s="33">
        <f>IFERROR(VLOOKUP(A24,Dataset!$A:$O,9,0),"Open")</f>
        <v>45307</v>
      </c>
      <c r="D24" s="14">
        <f t="shared" ca="1" si="0"/>
        <v>2</v>
      </c>
      <c r="E24" s="14">
        <f t="shared" ca="1" si="1"/>
        <v>2</v>
      </c>
      <c r="F24" s="34">
        <f t="shared" si="2"/>
        <v>45322</v>
      </c>
      <c r="G24" s="18">
        <f t="shared" si="3"/>
        <v>2</v>
      </c>
      <c r="H24" s="11" t="str">
        <f>VLOOKUP(A24,Dataset!$A:$O,7,0)</f>
        <v>Resolved</v>
      </c>
    </row>
    <row r="25" spans="1:8" x14ac:dyDescent="0.25">
      <c r="A25" s="5" t="s">
        <v>59</v>
      </c>
      <c r="B25" s="31">
        <f>VLOOKUP(A25,Dataset!$A:$O,8,0)</f>
        <v>45306</v>
      </c>
      <c r="C25" s="31">
        <f>IFERROR(VLOOKUP(A25,Dataset!$A:$O,9,0),"Open")</f>
        <v>0</v>
      </c>
      <c r="D25" s="13" t="str">
        <f t="shared" ca="1" si="0"/>
        <v>—</v>
      </c>
      <c r="E25" s="13">
        <f t="shared" ca="1" si="1"/>
        <v>-32361</v>
      </c>
      <c r="F25" s="32">
        <f t="shared" si="2"/>
        <v>45322</v>
      </c>
      <c r="G25" s="17">
        <f t="shared" si="3"/>
        <v>3</v>
      </c>
      <c r="H25" s="7" t="str">
        <f>VLOOKUP(A25,Dataset!$A:$O,7,0)</f>
        <v>Open</v>
      </c>
    </row>
    <row r="26" spans="1:8" x14ac:dyDescent="0.25">
      <c r="A26" s="9" t="s">
        <v>61</v>
      </c>
      <c r="B26" s="33">
        <f>VLOOKUP(A26,Dataset!$A:$O,8,0)</f>
        <v>45307</v>
      </c>
      <c r="C26" s="33">
        <f>IFERROR(VLOOKUP(A26,Dataset!$A:$O,9,0),"Open")</f>
        <v>45308</v>
      </c>
      <c r="D26" s="14">
        <f t="shared" ca="1" si="0"/>
        <v>1</v>
      </c>
      <c r="E26" s="14">
        <f t="shared" ca="1" si="1"/>
        <v>2</v>
      </c>
      <c r="F26" s="34">
        <f t="shared" si="2"/>
        <v>45322</v>
      </c>
      <c r="G26" s="18">
        <f t="shared" si="3"/>
        <v>3</v>
      </c>
      <c r="H26" s="11" t="str">
        <f>VLOOKUP(A26,Dataset!$A:$O,7,0)</f>
        <v>Closed</v>
      </c>
    </row>
    <row r="27" spans="1:8" x14ac:dyDescent="0.25">
      <c r="A27" s="5" t="s">
        <v>63</v>
      </c>
      <c r="B27" s="31">
        <f>VLOOKUP(A27,Dataset!$A:$O,8,0)</f>
        <v>45308</v>
      </c>
      <c r="C27" s="31">
        <f>IFERROR(VLOOKUP(A27,Dataset!$A:$O,9,0),"Open")</f>
        <v>45310</v>
      </c>
      <c r="D27" s="13">
        <f t="shared" ca="1" si="0"/>
        <v>2</v>
      </c>
      <c r="E27" s="13">
        <f t="shared" ca="1" si="1"/>
        <v>3</v>
      </c>
      <c r="F27" s="32">
        <f t="shared" si="2"/>
        <v>45322</v>
      </c>
      <c r="G27" s="17">
        <f t="shared" si="3"/>
        <v>3</v>
      </c>
      <c r="H27" s="7" t="str">
        <f>VLOOKUP(A27,Dataset!$A:$O,7,0)</f>
        <v>Resolved</v>
      </c>
    </row>
    <row r="28" spans="1:8" x14ac:dyDescent="0.25">
      <c r="A28" s="9" t="s">
        <v>65</v>
      </c>
      <c r="B28" s="33">
        <f>VLOOKUP(A28,Dataset!$A:$O,8,0)</f>
        <v>45309</v>
      </c>
      <c r="C28" s="33">
        <f>IFERROR(VLOOKUP(A28,Dataset!$A:$O,9,0),"Open")</f>
        <v>0</v>
      </c>
      <c r="D28" s="14" t="str">
        <f t="shared" ca="1" si="0"/>
        <v>—</v>
      </c>
      <c r="E28" s="14">
        <f t="shared" ca="1" si="1"/>
        <v>-32364</v>
      </c>
      <c r="F28" s="34">
        <f t="shared" si="2"/>
        <v>45322</v>
      </c>
      <c r="G28" s="18">
        <f t="shared" si="3"/>
        <v>3</v>
      </c>
      <c r="H28" s="11" t="str">
        <f>VLOOKUP(A28,Dataset!$A:$O,7,0)</f>
        <v>Open</v>
      </c>
    </row>
    <row r="29" spans="1:8" x14ac:dyDescent="0.25">
      <c r="A29" s="5" t="s">
        <v>67</v>
      </c>
      <c r="B29" s="31">
        <f>VLOOKUP(A29,Dataset!$A:$O,8,0)</f>
        <v>45310</v>
      </c>
      <c r="C29" s="31">
        <f>IFERROR(VLOOKUP(A29,Dataset!$A:$O,9,0),"Open")</f>
        <v>45312</v>
      </c>
      <c r="D29" s="13">
        <f t="shared" ca="1" si="0"/>
        <v>2</v>
      </c>
      <c r="E29" s="13">
        <f t="shared" ca="1" si="1"/>
        <v>1</v>
      </c>
      <c r="F29" s="32">
        <f t="shared" si="2"/>
        <v>45322</v>
      </c>
      <c r="G29" s="17">
        <f t="shared" si="3"/>
        <v>3</v>
      </c>
      <c r="H29" s="7" t="str">
        <f>VLOOKUP(A29,Dataset!$A:$O,7,0)</f>
        <v>Closed</v>
      </c>
    </row>
    <row r="30" spans="1:8" x14ac:dyDescent="0.25">
      <c r="A30" s="9" t="s">
        <v>69</v>
      </c>
      <c r="B30" s="33">
        <f>VLOOKUP(A30,Dataset!$A:$O,8,0)</f>
        <v>45311</v>
      </c>
      <c r="C30" s="33">
        <f>IFERROR(VLOOKUP(A30,Dataset!$A:$O,9,0),"Open")</f>
        <v>45313</v>
      </c>
      <c r="D30" s="14">
        <f t="shared" ca="1" si="0"/>
        <v>2</v>
      </c>
      <c r="E30" s="14">
        <f t="shared" ca="1" si="1"/>
        <v>1</v>
      </c>
      <c r="F30" s="34">
        <f t="shared" si="2"/>
        <v>45322</v>
      </c>
      <c r="G30" s="18">
        <f t="shared" si="3"/>
        <v>3</v>
      </c>
      <c r="H30" s="11" t="str">
        <f>VLOOKUP(A30,Dataset!$A:$O,7,0)</f>
        <v>Resolved</v>
      </c>
    </row>
    <row r="31" spans="1:8" x14ac:dyDescent="0.25">
      <c r="A31" s="5" t="s">
        <v>71</v>
      </c>
      <c r="B31" s="31">
        <f>VLOOKUP(A31,Dataset!$A:$O,8,0)</f>
        <v>45312</v>
      </c>
      <c r="C31" s="31">
        <f>IFERROR(VLOOKUP(A31,Dataset!$A:$O,9,0),"Open")</f>
        <v>0</v>
      </c>
      <c r="D31" s="13" t="str">
        <f t="shared" ca="1" si="0"/>
        <v>—</v>
      </c>
      <c r="E31" s="13">
        <f t="shared" ca="1" si="1"/>
        <v>-32365</v>
      </c>
      <c r="F31" s="32">
        <f t="shared" si="2"/>
        <v>45322</v>
      </c>
      <c r="G31" s="17">
        <f t="shared" si="3"/>
        <v>3</v>
      </c>
      <c r="H31" s="7" t="str">
        <f>VLOOKUP(A31,Dataset!$A:$O,7,0)</f>
        <v>Open</v>
      </c>
    </row>
    <row r="32" spans="1:8" x14ac:dyDescent="0.25">
      <c r="A32" s="9" t="s">
        <v>73</v>
      </c>
      <c r="B32" s="33">
        <f>VLOOKUP(A32,Dataset!$A:$O,8,0)</f>
        <v>45313</v>
      </c>
      <c r="C32" s="33">
        <f>IFERROR(VLOOKUP(A32,Dataset!$A:$O,9,0),"Open")</f>
        <v>45315</v>
      </c>
      <c r="D32" s="14">
        <f t="shared" ca="1" si="0"/>
        <v>2</v>
      </c>
      <c r="E32" s="14">
        <f t="shared" ca="1" si="1"/>
        <v>3</v>
      </c>
      <c r="F32" s="34">
        <f t="shared" si="2"/>
        <v>45322</v>
      </c>
      <c r="G32" s="18">
        <f t="shared" si="3"/>
        <v>4</v>
      </c>
      <c r="H32" s="11" t="str">
        <f>VLOOKUP(A32,Dataset!$A:$O,7,0)</f>
        <v>Resolved</v>
      </c>
    </row>
    <row r="33" spans="1:8" x14ac:dyDescent="0.25">
      <c r="A33" s="5" t="s">
        <v>75</v>
      </c>
      <c r="B33" s="31">
        <f>VLOOKUP(A33,Dataset!$A:$O,8,0)</f>
        <v>45314</v>
      </c>
      <c r="C33" s="31">
        <f>IFERROR(VLOOKUP(A33,Dataset!$A:$O,9,0),"Open")</f>
        <v>0</v>
      </c>
      <c r="D33" s="13" t="str">
        <f t="shared" ca="1" si="0"/>
        <v>—</v>
      </c>
      <c r="E33" s="13">
        <f t="shared" ca="1" si="1"/>
        <v>-32367</v>
      </c>
      <c r="F33" s="32">
        <f t="shared" si="2"/>
        <v>45322</v>
      </c>
      <c r="G33" s="17">
        <f t="shared" si="3"/>
        <v>4</v>
      </c>
      <c r="H33" s="7" t="str">
        <f>VLOOKUP(A33,Dataset!$A:$O,7,0)</f>
        <v>Open</v>
      </c>
    </row>
    <row r="34" spans="1:8" x14ac:dyDescent="0.25">
      <c r="A34" s="9" t="s">
        <v>77</v>
      </c>
      <c r="B34" s="33">
        <f>VLOOKUP(A34,Dataset!$A:$O,8,0)</f>
        <v>45315</v>
      </c>
      <c r="C34" s="33">
        <f>IFERROR(VLOOKUP(A34,Dataset!$A:$O,9,0),"Open")</f>
        <v>45316</v>
      </c>
      <c r="D34" s="14">
        <f t="shared" ca="1" si="0"/>
        <v>1</v>
      </c>
      <c r="E34" s="14">
        <f t="shared" ca="1" si="1"/>
        <v>2</v>
      </c>
      <c r="F34" s="34">
        <f t="shared" si="2"/>
        <v>45322</v>
      </c>
      <c r="G34" s="18">
        <f t="shared" si="3"/>
        <v>4</v>
      </c>
      <c r="H34" s="11" t="str">
        <f>VLOOKUP(A34,Dataset!$A:$O,7,0)</f>
        <v>Closed</v>
      </c>
    </row>
  </sheetData>
  <mergeCells count="4">
    <mergeCell ref="A1:K1"/>
    <mergeCell ref="A2:G2"/>
    <mergeCell ref="A3:G3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0"/>
  <sheetViews>
    <sheetView tabSelected="1" zoomScaleNormal="100" workbookViewId="0">
      <pane ySplit="2" topLeftCell="A31" activePane="bottomLeft" state="frozen"/>
      <selection pane="bottomLeft" activeCell="C40" sqref="C40"/>
    </sheetView>
  </sheetViews>
  <sheetFormatPr defaultColWidth="8.7109375" defaultRowHeight="15" x14ac:dyDescent="0.25"/>
  <cols>
    <col min="1" max="1" width="20" customWidth="1"/>
    <col min="2" max="2" width="22" customWidth="1"/>
    <col min="3" max="3" width="24" customWidth="1"/>
    <col min="4" max="4" width="36" customWidth="1"/>
    <col min="5" max="5" width="16" customWidth="1"/>
    <col min="6" max="6" width="20" customWidth="1"/>
    <col min="7" max="7" width="22" customWidth="1"/>
  </cols>
  <sheetData>
    <row r="1" spans="1:9" ht="27.75" customHeight="1" x14ac:dyDescent="0.25">
      <c r="A1" s="3" t="s">
        <v>126</v>
      </c>
      <c r="B1" s="3"/>
      <c r="C1" s="3"/>
      <c r="D1" s="3"/>
      <c r="E1" s="3"/>
      <c r="F1" s="3"/>
      <c r="G1" s="3"/>
      <c r="H1" s="3"/>
      <c r="I1" s="3"/>
    </row>
    <row r="2" spans="1:9" ht="21.75" customHeight="1" x14ac:dyDescent="0.25">
      <c r="A2" s="2" t="s">
        <v>127</v>
      </c>
      <c r="B2" s="2"/>
      <c r="C2" s="2"/>
      <c r="D2" s="2"/>
      <c r="E2" s="2"/>
      <c r="F2" s="2"/>
      <c r="G2" s="2"/>
    </row>
    <row r="3" spans="1:9" ht="26.25" customHeight="1" x14ac:dyDescent="0.25">
      <c r="A3" s="4" t="s">
        <v>0</v>
      </c>
      <c r="B3" s="4" t="s">
        <v>128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133</v>
      </c>
    </row>
    <row r="4" spans="1:9" x14ac:dyDescent="0.25">
      <c r="A4" s="5" t="s">
        <v>15</v>
      </c>
      <c r="B4" s="7" t="str">
        <f>VLOOKUP(A4,Dataset!$A:$O,1,0)</f>
        <v>BUG-001</v>
      </c>
      <c r="C4" s="13" t="str">
        <f t="shared" ref="C4:C23" si="0">LEFT(A4,3)</f>
        <v>BUG</v>
      </c>
      <c r="D4" s="13" t="str">
        <f t="shared" ref="D4:D23" si="1">RIGHT(A4,3)</f>
        <v>001</v>
      </c>
      <c r="E4" s="13" t="str">
        <f t="shared" ref="E4:E23" si="2">MID(A4,5,3)</f>
        <v>001</v>
      </c>
      <c r="F4" s="17">
        <f t="shared" ref="F4:F23" si="3">SEARCH("BUG",A4)</f>
        <v>1</v>
      </c>
      <c r="G4" s="17">
        <f t="shared" ref="G4:G23" si="4">SEARCH("-",A4)</f>
        <v>4</v>
      </c>
    </row>
    <row r="5" spans="1:9" x14ac:dyDescent="0.25">
      <c r="A5" s="9" t="s">
        <v>25</v>
      </c>
      <c r="B5" s="11" t="str">
        <f>VLOOKUP(A5,Dataset!$A:$O,1,0)</f>
        <v>BUG-002</v>
      </c>
      <c r="C5" s="14" t="str">
        <f t="shared" si="0"/>
        <v>BUG</v>
      </c>
      <c r="D5" s="14" t="str">
        <f t="shared" si="1"/>
        <v>002</v>
      </c>
      <c r="E5" s="14" t="str">
        <f t="shared" si="2"/>
        <v>002</v>
      </c>
      <c r="F5" s="18">
        <f t="shared" si="3"/>
        <v>1</v>
      </c>
      <c r="G5" s="18">
        <f t="shared" si="4"/>
        <v>4</v>
      </c>
    </row>
    <row r="6" spans="1:9" x14ac:dyDescent="0.25">
      <c r="A6" s="5" t="s">
        <v>31</v>
      </c>
      <c r="B6" s="7" t="str">
        <f>VLOOKUP(A6,Dataset!$A:$O,1,0)</f>
        <v>BUG-003</v>
      </c>
      <c r="C6" s="13" t="str">
        <f t="shared" si="0"/>
        <v>BUG</v>
      </c>
      <c r="D6" s="13" t="str">
        <f t="shared" si="1"/>
        <v>003</v>
      </c>
      <c r="E6" s="13" t="str">
        <f t="shared" si="2"/>
        <v>003</v>
      </c>
      <c r="F6" s="17">
        <f t="shared" si="3"/>
        <v>1</v>
      </c>
      <c r="G6" s="17">
        <f t="shared" si="4"/>
        <v>4</v>
      </c>
    </row>
    <row r="7" spans="1:9" x14ac:dyDescent="0.25">
      <c r="A7" s="9" t="s">
        <v>37</v>
      </c>
      <c r="B7" s="11" t="str">
        <f>VLOOKUP(A7,Dataset!$A:$O,1,0)</f>
        <v>BUG-004</v>
      </c>
      <c r="C7" s="14" t="str">
        <f t="shared" si="0"/>
        <v>BUG</v>
      </c>
      <c r="D7" s="14" t="str">
        <f t="shared" si="1"/>
        <v>004</v>
      </c>
      <c r="E7" s="14" t="str">
        <f t="shared" si="2"/>
        <v>004</v>
      </c>
      <c r="F7" s="18">
        <f t="shared" si="3"/>
        <v>1</v>
      </c>
      <c r="G7" s="18">
        <f t="shared" si="4"/>
        <v>4</v>
      </c>
    </row>
    <row r="8" spans="1:9" x14ac:dyDescent="0.25">
      <c r="A8" s="5" t="s">
        <v>42</v>
      </c>
      <c r="B8" s="7" t="str">
        <f>VLOOKUP(A8,Dataset!$A:$O,1,0)</f>
        <v>BUG-005</v>
      </c>
      <c r="C8" s="13" t="str">
        <f t="shared" si="0"/>
        <v>BUG</v>
      </c>
      <c r="D8" s="13" t="str">
        <f t="shared" si="1"/>
        <v>005</v>
      </c>
      <c r="E8" s="13" t="str">
        <f t="shared" si="2"/>
        <v>005</v>
      </c>
      <c r="F8" s="17">
        <f t="shared" si="3"/>
        <v>1</v>
      </c>
      <c r="G8" s="17">
        <f t="shared" si="4"/>
        <v>4</v>
      </c>
    </row>
    <row r="9" spans="1:9" x14ac:dyDescent="0.25">
      <c r="A9" s="9" t="s">
        <v>46</v>
      </c>
      <c r="B9" s="11" t="str">
        <f>VLOOKUP(A9,Dataset!$A:$O,1,0)</f>
        <v>BUG-006</v>
      </c>
      <c r="C9" s="14" t="str">
        <f t="shared" si="0"/>
        <v>BUG</v>
      </c>
      <c r="D9" s="14" t="str">
        <f t="shared" si="1"/>
        <v>006</v>
      </c>
      <c r="E9" s="14" t="str">
        <f t="shared" si="2"/>
        <v>006</v>
      </c>
      <c r="F9" s="18">
        <f t="shared" si="3"/>
        <v>1</v>
      </c>
      <c r="G9" s="18">
        <f t="shared" si="4"/>
        <v>4</v>
      </c>
    </row>
    <row r="10" spans="1:9" x14ac:dyDescent="0.25">
      <c r="A10" s="5" t="s">
        <v>51</v>
      </c>
      <c r="B10" s="7" t="str">
        <f>VLOOKUP(A10,Dataset!$A:$O,1,0)</f>
        <v>BUG-007</v>
      </c>
      <c r="C10" s="13" t="str">
        <f t="shared" si="0"/>
        <v>BUG</v>
      </c>
      <c r="D10" s="13" t="str">
        <f t="shared" si="1"/>
        <v>007</v>
      </c>
      <c r="E10" s="13" t="str">
        <f t="shared" si="2"/>
        <v>007</v>
      </c>
      <c r="F10" s="17">
        <f t="shared" si="3"/>
        <v>1</v>
      </c>
      <c r="G10" s="17">
        <f t="shared" si="4"/>
        <v>4</v>
      </c>
    </row>
    <row r="11" spans="1:9" x14ac:dyDescent="0.25">
      <c r="A11" s="9" t="s">
        <v>53</v>
      </c>
      <c r="B11" s="11" t="str">
        <f>VLOOKUP(A11,Dataset!$A:$O,1,0)</f>
        <v>BUG-008</v>
      </c>
      <c r="C11" s="14" t="str">
        <f t="shared" si="0"/>
        <v>BUG</v>
      </c>
      <c r="D11" s="14" t="str">
        <f t="shared" si="1"/>
        <v>008</v>
      </c>
      <c r="E11" s="14" t="str">
        <f t="shared" si="2"/>
        <v>008</v>
      </c>
      <c r="F11" s="18">
        <f t="shared" si="3"/>
        <v>1</v>
      </c>
      <c r="G11" s="18">
        <f t="shared" si="4"/>
        <v>4</v>
      </c>
    </row>
    <row r="12" spans="1:9" x14ac:dyDescent="0.25">
      <c r="A12" s="5" t="s">
        <v>55</v>
      </c>
      <c r="B12" s="7" t="str">
        <f>VLOOKUP(A12,Dataset!$A:$O,1,0)</f>
        <v>BUG-009</v>
      </c>
      <c r="C12" s="13" t="str">
        <f t="shared" si="0"/>
        <v>BUG</v>
      </c>
      <c r="D12" s="13" t="str">
        <f t="shared" si="1"/>
        <v>009</v>
      </c>
      <c r="E12" s="13" t="str">
        <f t="shared" si="2"/>
        <v>009</v>
      </c>
      <c r="F12" s="17">
        <f t="shared" si="3"/>
        <v>1</v>
      </c>
      <c r="G12" s="17">
        <f t="shared" si="4"/>
        <v>4</v>
      </c>
    </row>
    <row r="13" spans="1:9" x14ac:dyDescent="0.25">
      <c r="A13" s="9" t="s">
        <v>57</v>
      </c>
      <c r="B13" s="11" t="str">
        <f>VLOOKUP(A13,Dataset!$A:$O,1,0)</f>
        <v>BUG-010</v>
      </c>
      <c r="C13" s="14" t="str">
        <f t="shared" si="0"/>
        <v>BUG</v>
      </c>
      <c r="D13" s="14" t="str">
        <f t="shared" si="1"/>
        <v>010</v>
      </c>
      <c r="E13" s="14" t="str">
        <f t="shared" si="2"/>
        <v>010</v>
      </c>
      <c r="F13" s="18">
        <f t="shared" si="3"/>
        <v>1</v>
      </c>
      <c r="G13" s="18">
        <f t="shared" si="4"/>
        <v>4</v>
      </c>
    </row>
    <row r="14" spans="1:9" x14ac:dyDescent="0.25">
      <c r="A14" s="5" t="s">
        <v>59</v>
      </c>
      <c r="B14" s="7" t="str">
        <f>VLOOKUP(A14,Dataset!$A:$O,1,0)</f>
        <v>BUG-011</v>
      </c>
      <c r="C14" s="13" t="str">
        <f t="shared" si="0"/>
        <v>BUG</v>
      </c>
      <c r="D14" s="13" t="str">
        <f t="shared" si="1"/>
        <v>011</v>
      </c>
      <c r="E14" s="13" t="str">
        <f t="shared" si="2"/>
        <v>011</v>
      </c>
      <c r="F14" s="17">
        <f t="shared" si="3"/>
        <v>1</v>
      </c>
      <c r="G14" s="17">
        <f t="shared" si="4"/>
        <v>4</v>
      </c>
    </row>
    <row r="15" spans="1:9" x14ac:dyDescent="0.25">
      <c r="A15" s="9" t="s">
        <v>61</v>
      </c>
      <c r="B15" s="11" t="str">
        <f>VLOOKUP(A15,Dataset!$A:$O,1,0)</f>
        <v>BUG-012</v>
      </c>
      <c r="C15" s="14" t="str">
        <f t="shared" si="0"/>
        <v>BUG</v>
      </c>
      <c r="D15" s="14" t="str">
        <f t="shared" si="1"/>
        <v>012</v>
      </c>
      <c r="E15" s="14" t="str">
        <f t="shared" si="2"/>
        <v>012</v>
      </c>
      <c r="F15" s="18">
        <f t="shared" si="3"/>
        <v>1</v>
      </c>
      <c r="G15" s="18">
        <f t="shared" si="4"/>
        <v>4</v>
      </c>
    </row>
    <row r="16" spans="1:9" x14ac:dyDescent="0.25">
      <c r="A16" s="5" t="s">
        <v>63</v>
      </c>
      <c r="B16" s="7" t="str">
        <f>VLOOKUP(A16,Dataset!$A:$O,1,0)</f>
        <v>BUG-013</v>
      </c>
      <c r="C16" s="13" t="str">
        <f t="shared" si="0"/>
        <v>BUG</v>
      </c>
      <c r="D16" s="13" t="str">
        <f t="shared" si="1"/>
        <v>013</v>
      </c>
      <c r="E16" s="13" t="str">
        <f t="shared" si="2"/>
        <v>013</v>
      </c>
      <c r="F16" s="17">
        <f t="shared" si="3"/>
        <v>1</v>
      </c>
      <c r="G16" s="17">
        <f t="shared" si="4"/>
        <v>4</v>
      </c>
    </row>
    <row r="17" spans="1:7" x14ac:dyDescent="0.25">
      <c r="A17" s="9" t="s">
        <v>65</v>
      </c>
      <c r="B17" s="11" t="str">
        <f>VLOOKUP(A17,Dataset!$A:$O,1,0)</f>
        <v>BUG-014</v>
      </c>
      <c r="C17" s="14" t="str">
        <f t="shared" si="0"/>
        <v>BUG</v>
      </c>
      <c r="D17" s="14" t="str">
        <f t="shared" si="1"/>
        <v>014</v>
      </c>
      <c r="E17" s="14" t="str">
        <f t="shared" si="2"/>
        <v>014</v>
      </c>
      <c r="F17" s="18">
        <f t="shared" si="3"/>
        <v>1</v>
      </c>
      <c r="G17" s="18">
        <f t="shared" si="4"/>
        <v>4</v>
      </c>
    </row>
    <row r="18" spans="1:7" x14ac:dyDescent="0.25">
      <c r="A18" s="5" t="s">
        <v>67</v>
      </c>
      <c r="B18" s="7" t="str">
        <f>VLOOKUP(A18,Dataset!$A:$O,1,0)</f>
        <v>BUG-015</v>
      </c>
      <c r="C18" s="13" t="str">
        <f t="shared" si="0"/>
        <v>BUG</v>
      </c>
      <c r="D18" s="13" t="str">
        <f t="shared" si="1"/>
        <v>015</v>
      </c>
      <c r="E18" s="13" t="str">
        <f t="shared" si="2"/>
        <v>015</v>
      </c>
      <c r="F18" s="17">
        <f t="shared" si="3"/>
        <v>1</v>
      </c>
      <c r="G18" s="17">
        <f t="shared" si="4"/>
        <v>4</v>
      </c>
    </row>
    <row r="19" spans="1:7" x14ac:dyDescent="0.25">
      <c r="A19" s="9" t="s">
        <v>69</v>
      </c>
      <c r="B19" s="11" t="str">
        <f>VLOOKUP(A19,Dataset!$A:$O,1,0)</f>
        <v>BUG-016</v>
      </c>
      <c r="C19" s="14" t="str">
        <f t="shared" si="0"/>
        <v>BUG</v>
      </c>
      <c r="D19" s="14" t="str">
        <f t="shared" si="1"/>
        <v>016</v>
      </c>
      <c r="E19" s="14" t="str">
        <f t="shared" si="2"/>
        <v>016</v>
      </c>
      <c r="F19" s="18">
        <f t="shared" si="3"/>
        <v>1</v>
      </c>
      <c r="G19" s="18">
        <f t="shared" si="4"/>
        <v>4</v>
      </c>
    </row>
    <row r="20" spans="1:7" x14ac:dyDescent="0.25">
      <c r="A20" s="5" t="s">
        <v>71</v>
      </c>
      <c r="B20" s="7" t="str">
        <f>VLOOKUP(A20,Dataset!$A:$O,1,0)</f>
        <v>BUG-017</v>
      </c>
      <c r="C20" s="13" t="str">
        <f t="shared" si="0"/>
        <v>BUG</v>
      </c>
      <c r="D20" s="13" t="str">
        <f t="shared" si="1"/>
        <v>017</v>
      </c>
      <c r="E20" s="13" t="str">
        <f t="shared" si="2"/>
        <v>017</v>
      </c>
      <c r="F20" s="17">
        <f t="shared" si="3"/>
        <v>1</v>
      </c>
      <c r="G20" s="17">
        <f t="shared" si="4"/>
        <v>4</v>
      </c>
    </row>
    <row r="21" spans="1:7" x14ac:dyDescent="0.25">
      <c r="A21" s="9" t="s">
        <v>73</v>
      </c>
      <c r="B21" s="11" t="str">
        <f>VLOOKUP(A21,Dataset!$A:$O,1,0)</f>
        <v>BUG-018</v>
      </c>
      <c r="C21" s="14" t="str">
        <f t="shared" si="0"/>
        <v>BUG</v>
      </c>
      <c r="D21" s="14" t="str">
        <f t="shared" si="1"/>
        <v>018</v>
      </c>
      <c r="E21" s="14" t="str">
        <f t="shared" si="2"/>
        <v>018</v>
      </c>
      <c r="F21" s="18">
        <f t="shared" si="3"/>
        <v>1</v>
      </c>
      <c r="G21" s="18">
        <f t="shared" si="4"/>
        <v>4</v>
      </c>
    </row>
    <row r="22" spans="1:7" x14ac:dyDescent="0.25">
      <c r="A22" s="5" t="s">
        <v>75</v>
      </c>
      <c r="B22" s="7" t="str">
        <f>VLOOKUP(A22,Dataset!$A:$O,1,0)</f>
        <v>BUG-019</v>
      </c>
      <c r="C22" s="13" t="str">
        <f t="shared" si="0"/>
        <v>BUG</v>
      </c>
      <c r="D22" s="13" t="str">
        <f t="shared" si="1"/>
        <v>019</v>
      </c>
      <c r="E22" s="13" t="str">
        <f t="shared" si="2"/>
        <v>019</v>
      </c>
      <c r="F22" s="17">
        <f t="shared" si="3"/>
        <v>1</v>
      </c>
      <c r="G22" s="17">
        <f t="shared" si="4"/>
        <v>4</v>
      </c>
    </row>
    <row r="23" spans="1:7" x14ac:dyDescent="0.25">
      <c r="A23" s="9" t="s">
        <v>77</v>
      </c>
      <c r="B23" s="11" t="str">
        <f>VLOOKUP(A23,Dataset!$A:$O,1,0)</f>
        <v>BUG-020</v>
      </c>
      <c r="C23" s="14" t="str">
        <f t="shared" si="0"/>
        <v>BUG</v>
      </c>
      <c r="D23" s="14" t="str">
        <f t="shared" si="1"/>
        <v>020</v>
      </c>
      <c r="E23" s="14" t="str">
        <f t="shared" si="2"/>
        <v>020</v>
      </c>
      <c r="F23" s="18">
        <f t="shared" si="3"/>
        <v>1</v>
      </c>
      <c r="G23" s="18">
        <f t="shared" si="4"/>
        <v>4</v>
      </c>
    </row>
    <row r="25" spans="1:7" ht="21.75" customHeight="1" x14ac:dyDescent="0.25">
      <c r="A25" s="2" t="s">
        <v>134</v>
      </c>
      <c r="B25" s="2"/>
      <c r="C25" s="2"/>
      <c r="D25" s="2"/>
      <c r="E25" s="2"/>
      <c r="F25" s="2"/>
      <c r="G25" s="2"/>
    </row>
    <row r="26" spans="1:7" x14ac:dyDescent="0.25">
      <c r="A26" s="4" t="s">
        <v>0</v>
      </c>
      <c r="B26" s="4" t="s">
        <v>135</v>
      </c>
      <c r="C26" s="4" t="s">
        <v>136</v>
      </c>
      <c r="D26" s="4" t="s">
        <v>137</v>
      </c>
      <c r="E26" s="4" t="s">
        <v>138</v>
      </c>
      <c r="F26" s="4" t="s">
        <v>139</v>
      </c>
      <c r="G26" s="4" t="s">
        <v>140</v>
      </c>
    </row>
    <row r="27" spans="1:7" x14ac:dyDescent="0.25">
      <c r="A27" s="5" t="s">
        <v>15</v>
      </c>
      <c r="B27" s="35" t="s">
        <v>141</v>
      </c>
      <c r="C27" s="36" t="str">
        <f t="shared" ref="C27:C36" si="5">TRIM(B27)</f>
        <v>critical BUG</v>
      </c>
      <c r="D27" s="37" t="str">
        <f t="shared" ref="D27:D36" si="6">UPPER(TRIM(B27))</f>
        <v>CRITICAL BUG</v>
      </c>
      <c r="E27" s="38" t="str">
        <f t="shared" ref="E27:E36" si="7">LOWER(TRIM(B27))</f>
        <v>critical bug</v>
      </c>
      <c r="F27" s="39" t="str">
        <f t="shared" ref="F27:F36" si="8">PROPER(TRIM(B27))</f>
        <v>Critical Bug</v>
      </c>
      <c r="G27" s="40" t="str">
        <f t="shared" ref="G27:G36" si="9">CLEAN(TRIM(B27))</f>
        <v>critical BUG</v>
      </c>
    </row>
    <row r="28" spans="1:7" x14ac:dyDescent="0.25">
      <c r="A28" s="9" t="s">
        <v>25</v>
      </c>
      <c r="B28" s="41" t="s">
        <v>142</v>
      </c>
      <c r="C28" s="42" t="str">
        <f t="shared" si="5"/>
        <v>ALPHA project</v>
      </c>
      <c r="D28" s="43" t="str">
        <f t="shared" si="6"/>
        <v>ALPHA PROJECT</v>
      </c>
      <c r="E28" s="44" t="str">
        <f t="shared" si="7"/>
        <v>alpha project</v>
      </c>
      <c r="F28" s="45" t="str">
        <f t="shared" si="8"/>
        <v>Alpha Project</v>
      </c>
      <c r="G28" s="46" t="str">
        <f t="shared" si="9"/>
        <v>ALPHA project</v>
      </c>
    </row>
    <row r="29" spans="1:7" x14ac:dyDescent="0.25">
      <c r="A29" s="5" t="s">
        <v>31</v>
      </c>
      <c r="B29" s="35" t="s">
        <v>143</v>
      </c>
      <c r="C29" s="36" t="str">
        <f t="shared" si="5"/>
        <v>login MODULE</v>
      </c>
      <c r="D29" s="37" t="str">
        <f t="shared" si="6"/>
        <v>LOGIN MODULE</v>
      </c>
      <c r="E29" s="38" t="str">
        <f t="shared" si="7"/>
        <v>login module</v>
      </c>
      <c r="F29" s="39" t="str">
        <f t="shared" si="8"/>
        <v>Login Module</v>
      </c>
      <c r="G29" s="40" t="str">
        <f t="shared" si="9"/>
        <v>login MODULE</v>
      </c>
    </row>
    <row r="30" spans="1:7" x14ac:dyDescent="0.25">
      <c r="A30" s="9" t="s">
        <v>37</v>
      </c>
      <c r="B30" s="41" t="s">
        <v>144</v>
      </c>
      <c r="C30" s="42" t="str">
        <f t="shared" si="5"/>
        <v>beta DASHBOARD</v>
      </c>
      <c r="D30" s="43" t="str">
        <f t="shared" si="6"/>
        <v>BETA DASHBOARD</v>
      </c>
      <c r="E30" s="44" t="str">
        <f t="shared" si="7"/>
        <v>beta dashboard</v>
      </c>
      <c r="F30" s="45" t="str">
        <f t="shared" si="8"/>
        <v>Beta Dashboard</v>
      </c>
      <c r="G30" s="46" t="str">
        <f t="shared" si="9"/>
        <v>beta DASHBOARD</v>
      </c>
    </row>
    <row r="31" spans="1:7" x14ac:dyDescent="0.25">
      <c r="A31" s="5" t="s">
        <v>42</v>
      </c>
      <c r="B31" s="35" t="s">
        <v>145</v>
      </c>
      <c r="C31" s="36" t="str">
        <f t="shared" si="5"/>
        <v>PAYMENTS module</v>
      </c>
      <c r="D31" s="37" t="str">
        <f t="shared" si="6"/>
        <v>PAYMENTS MODULE</v>
      </c>
      <c r="E31" s="38" t="str">
        <f t="shared" si="7"/>
        <v>payments module</v>
      </c>
      <c r="F31" s="39" t="str">
        <f t="shared" si="8"/>
        <v>Payments Module</v>
      </c>
      <c r="G31" s="40" t="str">
        <f t="shared" si="9"/>
        <v>PAYMENTS module</v>
      </c>
    </row>
    <row r="32" spans="1:7" x14ac:dyDescent="0.25">
      <c r="A32" s="9" t="s">
        <v>46</v>
      </c>
      <c r="B32" s="41" t="s">
        <v>146</v>
      </c>
      <c r="C32" s="42" t="str">
        <f t="shared" si="5"/>
        <v>gamma search</v>
      </c>
      <c r="D32" s="43" t="str">
        <f t="shared" si="6"/>
        <v>GAMMA SEARCH</v>
      </c>
      <c r="E32" s="44" t="str">
        <f t="shared" si="7"/>
        <v>gamma search</v>
      </c>
      <c r="F32" s="45" t="str">
        <f t="shared" si="8"/>
        <v>Gamma Search</v>
      </c>
      <c r="G32" s="46" t="str">
        <f t="shared" si="9"/>
        <v>gamma search</v>
      </c>
    </row>
    <row r="33" spans="1:7" x14ac:dyDescent="0.25">
      <c r="A33" s="5" t="s">
        <v>51</v>
      </c>
      <c r="B33" s="35" t="s">
        <v>147</v>
      </c>
      <c r="C33" s="36" t="str">
        <f t="shared" si="5"/>
        <v>REPORTS module</v>
      </c>
      <c r="D33" s="37" t="str">
        <f t="shared" si="6"/>
        <v>REPORTS MODULE</v>
      </c>
      <c r="E33" s="38" t="str">
        <f t="shared" si="7"/>
        <v>reports module</v>
      </c>
      <c r="F33" s="39" t="str">
        <f t="shared" si="8"/>
        <v>Reports Module</v>
      </c>
      <c r="G33" s="40" t="str">
        <f t="shared" si="9"/>
        <v>REPORTS module</v>
      </c>
    </row>
    <row r="34" spans="1:7" x14ac:dyDescent="0.25">
      <c r="A34" s="9" t="s">
        <v>53</v>
      </c>
      <c r="B34" s="41" t="s">
        <v>148</v>
      </c>
      <c r="C34" s="42" t="str">
        <f t="shared" si="5"/>
        <v>QA environment</v>
      </c>
      <c r="D34" s="43" t="str">
        <f t="shared" si="6"/>
        <v>QA ENVIRONMENT</v>
      </c>
      <c r="E34" s="44" t="str">
        <f t="shared" si="7"/>
        <v>qa environment</v>
      </c>
      <c r="F34" s="45" t="str">
        <f t="shared" si="8"/>
        <v>Qa Environment</v>
      </c>
      <c r="G34" s="46" t="str">
        <f t="shared" si="9"/>
        <v>QA environment</v>
      </c>
    </row>
    <row r="35" spans="1:7" x14ac:dyDescent="0.25">
      <c r="A35" s="5" t="s">
        <v>55</v>
      </c>
      <c r="B35" s="35" t="s">
        <v>149</v>
      </c>
      <c r="C35" s="36" t="str">
        <f t="shared" si="5"/>
        <v>staging BUILD</v>
      </c>
      <c r="D35" s="37" t="str">
        <f t="shared" si="6"/>
        <v>STAGING BUILD</v>
      </c>
      <c r="E35" s="38" t="str">
        <f t="shared" si="7"/>
        <v>staging build</v>
      </c>
      <c r="F35" s="39" t="str">
        <f t="shared" si="8"/>
        <v>Staging Build</v>
      </c>
      <c r="G35" s="40" t="str">
        <f t="shared" si="9"/>
        <v>staging BUILD</v>
      </c>
    </row>
    <row r="36" spans="1:7" x14ac:dyDescent="0.25">
      <c r="A36" s="9" t="s">
        <v>57</v>
      </c>
      <c r="B36" s="41" t="s">
        <v>150</v>
      </c>
      <c r="C36" s="42" t="str">
        <f t="shared" si="5"/>
        <v>PRODUCTION env</v>
      </c>
      <c r="D36" s="43" t="str">
        <f t="shared" si="6"/>
        <v>PRODUCTION ENV</v>
      </c>
      <c r="E36" s="44" t="str">
        <f t="shared" si="7"/>
        <v>production env</v>
      </c>
      <c r="F36" s="45" t="str">
        <f t="shared" si="8"/>
        <v>Production Env</v>
      </c>
      <c r="G36" s="46" t="str">
        <f t="shared" si="9"/>
        <v>PRODUCTION env</v>
      </c>
    </row>
    <row r="38" spans="1:7" ht="21.75" customHeight="1" x14ac:dyDescent="0.25">
      <c r="A38" s="2" t="s">
        <v>151</v>
      </c>
      <c r="B38" s="2"/>
      <c r="C38" s="2"/>
      <c r="D38" s="2"/>
      <c r="E38" s="2"/>
      <c r="F38" s="2"/>
      <c r="G38" s="2"/>
    </row>
    <row r="39" spans="1:7" x14ac:dyDescent="0.25">
      <c r="A39" s="4" t="s">
        <v>0</v>
      </c>
      <c r="B39" s="4" t="s">
        <v>152</v>
      </c>
      <c r="C39" s="4" t="s">
        <v>153</v>
      </c>
      <c r="D39" s="4" t="s">
        <v>99</v>
      </c>
      <c r="E39" s="4" t="s">
        <v>154</v>
      </c>
      <c r="F39" s="4" t="s">
        <v>155</v>
      </c>
      <c r="G39" s="4" t="s">
        <v>156</v>
      </c>
    </row>
    <row r="40" spans="1:7" ht="18" customHeight="1" x14ac:dyDescent="0.25">
      <c r="A40" s="5" t="s">
        <v>15</v>
      </c>
      <c r="B40" s="7" t="str">
        <f>VLOOKUP(A40,Dataset!$A:$O,1,0)</f>
        <v>BUG-001</v>
      </c>
      <c r="C40" s="13" t="str">
        <f t="shared" ref="C40:C59" si="10">SUBSTITUTE(B40,"BUG","DEF")</f>
        <v>DEF-001</v>
      </c>
      <c r="D40" s="7">
        <f>VLOOKUP(A40,Dataset!$A:$O,11,0)</f>
        <v>8</v>
      </c>
      <c r="E40" s="15" t="str">
        <f t="shared" ref="E40:E59" si="11">DOLLAR(D40,2)</f>
        <v>₹ 8.00</v>
      </c>
      <c r="F40" s="17" t="str">
        <f>TEXT(VLOOKUP(A40,Dataset!$A:$O,8,0),"DD-MMM-YYYY")</f>
        <v>05-Jan-2024</v>
      </c>
      <c r="G40" s="37" t="str">
        <f>CONCATENATE(A40," | ",VLOOKUP(A40,Dataset!$A:$O,2,0))</f>
        <v>BUG-001 | Alpha</v>
      </c>
    </row>
    <row r="41" spans="1:7" ht="18" customHeight="1" x14ac:dyDescent="0.25">
      <c r="A41" s="9" t="s">
        <v>25</v>
      </c>
      <c r="B41" s="11" t="str">
        <f>VLOOKUP(A41,Dataset!$A:$O,1,0)</f>
        <v>BUG-002</v>
      </c>
      <c r="C41" s="14" t="str">
        <f t="shared" si="10"/>
        <v>DEF-002</v>
      </c>
      <c r="D41" s="11">
        <f>VLOOKUP(A41,Dataset!$A:$O,11,0)</f>
        <v>5</v>
      </c>
      <c r="E41" s="16" t="str">
        <f t="shared" si="11"/>
        <v>₹ 5.00</v>
      </c>
      <c r="F41" s="18" t="str">
        <f>TEXT(VLOOKUP(A41,Dataset!$A:$O,8,0),"DD-MMM-YYYY")</f>
        <v>06-Jan-2024</v>
      </c>
      <c r="G41" s="43" t="str">
        <f>CONCATENATE(A41," | ",VLOOKUP(A41,Dataset!$A:$O,2,0))</f>
        <v>BUG-002 | Alpha</v>
      </c>
    </row>
    <row r="42" spans="1:7" ht="18" customHeight="1" x14ac:dyDescent="0.25">
      <c r="A42" s="5" t="s">
        <v>31</v>
      </c>
      <c r="B42" s="7" t="str">
        <f>VLOOKUP(A42,Dataset!$A:$O,1,0)</f>
        <v>BUG-003</v>
      </c>
      <c r="C42" s="13" t="str">
        <f t="shared" si="10"/>
        <v>DEF-003</v>
      </c>
      <c r="D42" s="7">
        <f>VLOOKUP(A42,Dataset!$A:$O,11,0)</f>
        <v>3</v>
      </c>
      <c r="E42" s="15" t="str">
        <f t="shared" si="11"/>
        <v>₹ 3.00</v>
      </c>
      <c r="F42" s="17" t="str">
        <f>TEXT(VLOOKUP(A42,Dataset!$A:$O,8,0),"DD-MMM-YYYY")</f>
        <v>07-Jan-2024</v>
      </c>
      <c r="G42" s="37" t="str">
        <f>CONCATENATE(A42," | ",VLOOKUP(A42,Dataset!$A:$O,2,0))</f>
        <v>BUG-003 | Beta</v>
      </c>
    </row>
    <row r="43" spans="1:7" ht="18" customHeight="1" x14ac:dyDescent="0.25">
      <c r="A43" s="9" t="s">
        <v>37</v>
      </c>
      <c r="B43" s="11" t="str">
        <f>VLOOKUP(A43,Dataset!$A:$O,1,0)</f>
        <v>BUG-004</v>
      </c>
      <c r="C43" s="14" t="str">
        <f t="shared" si="10"/>
        <v>DEF-004</v>
      </c>
      <c r="D43" s="11">
        <f>VLOOKUP(A43,Dataset!$A:$O,11,0)</f>
        <v>2</v>
      </c>
      <c r="E43" s="16" t="str">
        <f t="shared" si="11"/>
        <v>₹ 2.00</v>
      </c>
      <c r="F43" s="18" t="str">
        <f>TEXT(VLOOKUP(A43,Dataset!$A:$O,8,0),"DD-MMM-YYYY")</f>
        <v>08-Jan-2024</v>
      </c>
      <c r="G43" s="43" t="str">
        <f>CONCATENATE(A43," | ",VLOOKUP(A43,Dataset!$A:$O,2,0))</f>
        <v>BUG-004 | Beta</v>
      </c>
    </row>
    <row r="44" spans="1:7" ht="18" customHeight="1" x14ac:dyDescent="0.25">
      <c r="A44" s="5" t="s">
        <v>42</v>
      </c>
      <c r="B44" s="7" t="str">
        <f>VLOOKUP(A44,Dataset!$A:$O,1,0)</f>
        <v>BUG-005</v>
      </c>
      <c r="C44" s="13" t="str">
        <f t="shared" si="10"/>
        <v>DEF-005</v>
      </c>
      <c r="D44" s="7">
        <f>VLOOKUP(A44,Dataset!$A:$O,11,0)</f>
        <v>10</v>
      </c>
      <c r="E44" s="15" t="str">
        <f t="shared" si="11"/>
        <v>₹ 10.00</v>
      </c>
      <c r="F44" s="17" t="str">
        <f>TEXT(VLOOKUP(A44,Dataset!$A:$O,8,0),"DD-MMM-YYYY")</f>
        <v>09-Jan-2024</v>
      </c>
      <c r="G44" s="37" t="str">
        <f>CONCATENATE(A44," | ",VLOOKUP(A44,Dataset!$A:$O,2,0))</f>
        <v>BUG-005 | Alpha</v>
      </c>
    </row>
    <row r="45" spans="1:7" ht="18" customHeight="1" x14ac:dyDescent="0.25">
      <c r="A45" s="9" t="s">
        <v>46</v>
      </c>
      <c r="B45" s="11" t="str">
        <f>VLOOKUP(A45,Dataset!$A:$O,1,0)</f>
        <v>BUG-006</v>
      </c>
      <c r="C45" s="14" t="str">
        <f t="shared" si="10"/>
        <v>DEF-006</v>
      </c>
      <c r="D45" s="11">
        <f>VLOOKUP(A45,Dataset!$A:$O,11,0)</f>
        <v>4</v>
      </c>
      <c r="E45" s="16" t="str">
        <f t="shared" si="11"/>
        <v>₹ 4.00</v>
      </c>
      <c r="F45" s="18" t="str">
        <f>TEXT(VLOOKUP(A45,Dataset!$A:$O,8,0),"DD-MMM-YYYY")</f>
        <v>10-Jan-2024</v>
      </c>
      <c r="G45" s="43" t="str">
        <f>CONCATENATE(A45," | ",VLOOKUP(A45,Dataset!$A:$O,2,0))</f>
        <v>BUG-006 | Gamma</v>
      </c>
    </row>
    <row r="46" spans="1:7" ht="18" customHeight="1" x14ac:dyDescent="0.25">
      <c r="A46" s="5" t="s">
        <v>51</v>
      </c>
      <c r="B46" s="7" t="str">
        <f>VLOOKUP(A46,Dataset!$A:$O,1,0)</f>
        <v>BUG-007</v>
      </c>
      <c r="C46" s="13" t="str">
        <f t="shared" si="10"/>
        <v>DEF-007</v>
      </c>
      <c r="D46" s="7">
        <f>VLOOKUP(A46,Dataset!$A:$O,11,0)</f>
        <v>3</v>
      </c>
      <c r="E46" s="15" t="str">
        <f t="shared" si="11"/>
        <v>₹ 3.00</v>
      </c>
      <c r="F46" s="17" t="str">
        <f>TEXT(VLOOKUP(A46,Dataset!$A:$O,8,0),"DD-MMM-YYYY")</f>
        <v>11-Jan-2024</v>
      </c>
      <c r="G46" s="37" t="str">
        <f>CONCATENATE(A46," | ",VLOOKUP(A46,Dataset!$A:$O,2,0))</f>
        <v>BUG-007 | Gamma</v>
      </c>
    </row>
    <row r="47" spans="1:7" ht="18" customHeight="1" x14ac:dyDescent="0.25">
      <c r="A47" s="9" t="s">
        <v>53</v>
      </c>
      <c r="B47" s="11" t="str">
        <f>VLOOKUP(A47,Dataset!$A:$O,1,0)</f>
        <v>BUG-008</v>
      </c>
      <c r="C47" s="14" t="str">
        <f t="shared" si="10"/>
        <v>DEF-008</v>
      </c>
      <c r="D47" s="11">
        <f>VLOOKUP(A47,Dataset!$A:$O,11,0)</f>
        <v>2</v>
      </c>
      <c r="E47" s="16" t="str">
        <f t="shared" si="11"/>
        <v>₹ 2.00</v>
      </c>
      <c r="F47" s="18" t="str">
        <f>TEXT(VLOOKUP(A47,Dataset!$A:$O,8,0),"DD-MMM-YYYY")</f>
        <v>12-Jan-2024</v>
      </c>
      <c r="G47" s="43" t="str">
        <f>CONCATENATE(A47," | ",VLOOKUP(A47,Dataset!$A:$O,2,0))</f>
        <v>BUG-008 | Alpha</v>
      </c>
    </row>
    <row r="48" spans="1:7" ht="18" customHeight="1" x14ac:dyDescent="0.25">
      <c r="A48" s="5" t="s">
        <v>55</v>
      </c>
      <c r="B48" s="7" t="str">
        <f>VLOOKUP(A48,Dataset!$A:$O,1,0)</f>
        <v>BUG-009</v>
      </c>
      <c r="C48" s="13" t="str">
        <f t="shared" si="10"/>
        <v>DEF-009</v>
      </c>
      <c r="D48" s="7">
        <f>VLOOKUP(A48,Dataset!$A:$O,11,0)</f>
        <v>7</v>
      </c>
      <c r="E48" s="15" t="str">
        <f t="shared" si="11"/>
        <v>₹ 7.00</v>
      </c>
      <c r="F48" s="17" t="str">
        <f>TEXT(VLOOKUP(A48,Dataset!$A:$O,8,0),"DD-MMM-YYYY")</f>
        <v>13-Jan-2024</v>
      </c>
      <c r="G48" s="37" t="str">
        <f>CONCATENATE(A48," | ",VLOOKUP(A48,Dataset!$A:$O,2,0))</f>
        <v>BUG-009 | Beta</v>
      </c>
    </row>
    <row r="49" spans="1:7" ht="18" customHeight="1" x14ac:dyDescent="0.25">
      <c r="A49" s="9" t="s">
        <v>57</v>
      </c>
      <c r="B49" s="11" t="str">
        <f>VLOOKUP(A49,Dataset!$A:$O,1,0)</f>
        <v>BUG-010</v>
      </c>
      <c r="C49" s="14" t="str">
        <f t="shared" si="10"/>
        <v>DEF-010</v>
      </c>
      <c r="D49" s="11">
        <f>VLOOKUP(A49,Dataset!$A:$O,11,0)</f>
        <v>6</v>
      </c>
      <c r="E49" s="16" t="str">
        <f t="shared" si="11"/>
        <v>₹ 6.00</v>
      </c>
      <c r="F49" s="18" t="str">
        <f>TEXT(VLOOKUP(A49,Dataset!$A:$O,8,0),"DD-MMM-YYYY")</f>
        <v>14-Jan-2024</v>
      </c>
      <c r="G49" s="43" t="str">
        <f>CONCATENATE(A49," | ",VLOOKUP(A49,Dataset!$A:$O,2,0))</f>
        <v>BUG-010 | Beta</v>
      </c>
    </row>
    <row r="50" spans="1:7" ht="18" customHeight="1" x14ac:dyDescent="0.25">
      <c r="A50" s="5" t="s">
        <v>59</v>
      </c>
      <c r="B50" s="7" t="str">
        <f>VLOOKUP(A50,Dataset!$A:$O,1,0)</f>
        <v>BUG-011</v>
      </c>
      <c r="C50" s="13" t="str">
        <f t="shared" si="10"/>
        <v>DEF-011</v>
      </c>
      <c r="D50" s="7">
        <f>VLOOKUP(A50,Dataset!$A:$O,11,0)</f>
        <v>3</v>
      </c>
      <c r="E50" s="15" t="str">
        <f t="shared" si="11"/>
        <v>₹ 3.00</v>
      </c>
      <c r="F50" s="17" t="str">
        <f>TEXT(VLOOKUP(A50,Dataset!$A:$O,8,0),"DD-MMM-YYYY")</f>
        <v>15-Jan-2024</v>
      </c>
      <c r="G50" s="37" t="str">
        <f>CONCATENATE(A50," | ",VLOOKUP(A50,Dataset!$A:$O,2,0))</f>
        <v>BUG-011 | Gamma</v>
      </c>
    </row>
    <row r="51" spans="1:7" ht="18" customHeight="1" x14ac:dyDescent="0.25">
      <c r="A51" s="9" t="s">
        <v>61</v>
      </c>
      <c r="B51" s="11" t="str">
        <f>VLOOKUP(A51,Dataset!$A:$O,1,0)</f>
        <v>BUG-012</v>
      </c>
      <c r="C51" s="14" t="str">
        <f t="shared" si="10"/>
        <v>DEF-012</v>
      </c>
      <c r="D51" s="11">
        <f>VLOOKUP(A51,Dataset!$A:$O,11,0)</f>
        <v>1</v>
      </c>
      <c r="E51" s="16" t="str">
        <f t="shared" si="11"/>
        <v>₹ 1.00</v>
      </c>
      <c r="F51" s="18" t="str">
        <f>TEXT(VLOOKUP(A51,Dataset!$A:$O,8,0),"DD-MMM-YYYY")</f>
        <v>16-Jan-2024</v>
      </c>
      <c r="G51" s="43" t="str">
        <f>CONCATENATE(A51," | ",VLOOKUP(A51,Dataset!$A:$O,2,0))</f>
        <v>BUG-012 | Alpha</v>
      </c>
    </row>
    <row r="52" spans="1:7" ht="18" customHeight="1" x14ac:dyDescent="0.25">
      <c r="A52" s="5" t="s">
        <v>63</v>
      </c>
      <c r="B52" s="7" t="str">
        <f>VLOOKUP(A52,Dataset!$A:$O,1,0)</f>
        <v>BUG-013</v>
      </c>
      <c r="C52" s="13" t="str">
        <f t="shared" si="10"/>
        <v>DEF-013</v>
      </c>
      <c r="D52" s="7">
        <f>VLOOKUP(A52,Dataset!$A:$O,11,0)</f>
        <v>9</v>
      </c>
      <c r="E52" s="15" t="str">
        <f t="shared" si="11"/>
        <v>₹ 9.00</v>
      </c>
      <c r="F52" s="17" t="str">
        <f>TEXT(VLOOKUP(A52,Dataset!$A:$O,8,0),"DD-MMM-YYYY")</f>
        <v>17-Jan-2024</v>
      </c>
      <c r="G52" s="37" t="str">
        <f>CONCATENATE(A52," | ",VLOOKUP(A52,Dataset!$A:$O,2,0))</f>
        <v>BUG-013 | Beta</v>
      </c>
    </row>
    <row r="53" spans="1:7" ht="18" customHeight="1" x14ac:dyDescent="0.25">
      <c r="A53" s="9" t="s">
        <v>65</v>
      </c>
      <c r="B53" s="11" t="str">
        <f>VLOOKUP(A53,Dataset!$A:$O,1,0)</f>
        <v>BUG-014</v>
      </c>
      <c r="C53" s="14" t="str">
        <f t="shared" si="10"/>
        <v>DEF-014</v>
      </c>
      <c r="D53" s="11">
        <f>VLOOKUP(A53,Dataset!$A:$O,11,0)</f>
        <v>5</v>
      </c>
      <c r="E53" s="16" t="str">
        <f t="shared" si="11"/>
        <v>₹ 5.00</v>
      </c>
      <c r="F53" s="18" t="str">
        <f>TEXT(VLOOKUP(A53,Dataset!$A:$O,8,0),"DD-MMM-YYYY")</f>
        <v>18-Jan-2024</v>
      </c>
      <c r="G53" s="43" t="str">
        <f>CONCATENATE(A53," | ",VLOOKUP(A53,Dataset!$A:$O,2,0))</f>
        <v>BUG-014 | Gamma</v>
      </c>
    </row>
    <row r="54" spans="1:7" ht="18" customHeight="1" x14ac:dyDescent="0.25">
      <c r="A54" s="5" t="s">
        <v>67</v>
      </c>
      <c r="B54" s="7" t="str">
        <f>VLOOKUP(A54,Dataset!$A:$O,1,0)</f>
        <v>BUG-015</v>
      </c>
      <c r="C54" s="13" t="str">
        <f t="shared" si="10"/>
        <v>DEF-015</v>
      </c>
      <c r="D54" s="7">
        <f>VLOOKUP(A54,Dataset!$A:$O,11,0)</f>
        <v>4</v>
      </c>
      <c r="E54" s="15" t="str">
        <f t="shared" si="11"/>
        <v>₹ 4.00</v>
      </c>
      <c r="F54" s="17" t="str">
        <f>TEXT(VLOOKUP(A54,Dataset!$A:$O,8,0),"DD-MMM-YYYY")</f>
        <v>19-Jan-2024</v>
      </c>
      <c r="G54" s="37" t="str">
        <f>CONCATENATE(A54," | ",VLOOKUP(A54,Dataset!$A:$O,2,0))</f>
        <v>BUG-015 | Alpha</v>
      </c>
    </row>
    <row r="55" spans="1:7" ht="18" customHeight="1" x14ac:dyDescent="0.25">
      <c r="A55" s="9" t="s">
        <v>69</v>
      </c>
      <c r="B55" s="11" t="str">
        <f>VLOOKUP(A55,Dataset!$A:$O,1,0)</f>
        <v>BUG-016</v>
      </c>
      <c r="C55" s="14" t="str">
        <f t="shared" si="10"/>
        <v>DEF-016</v>
      </c>
      <c r="D55" s="11">
        <f>VLOOKUP(A55,Dataset!$A:$O,11,0)</f>
        <v>2</v>
      </c>
      <c r="E55" s="16" t="str">
        <f t="shared" si="11"/>
        <v>₹ 2.00</v>
      </c>
      <c r="F55" s="18" t="str">
        <f>TEXT(VLOOKUP(A55,Dataset!$A:$O,8,0),"DD-MMM-YYYY")</f>
        <v>20-Jan-2024</v>
      </c>
      <c r="G55" s="43" t="str">
        <f>CONCATENATE(A55," | ",VLOOKUP(A55,Dataset!$A:$O,2,0))</f>
        <v>BUG-016 | Beta</v>
      </c>
    </row>
    <row r="56" spans="1:7" ht="18" customHeight="1" x14ac:dyDescent="0.25">
      <c r="A56" s="5" t="s">
        <v>71</v>
      </c>
      <c r="B56" s="7" t="str">
        <f>VLOOKUP(A56,Dataset!$A:$O,1,0)</f>
        <v>BUG-017</v>
      </c>
      <c r="C56" s="13" t="str">
        <f t="shared" si="10"/>
        <v>DEF-017</v>
      </c>
      <c r="D56" s="7">
        <f>VLOOKUP(A56,Dataset!$A:$O,11,0)</f>
        <v>8</v>
      </c>
      <c r="E56" s="15" t="str">
        <f t="shared" si="11"/>
        <v>₹ 8.00</v>
      </c>
      <c r="F56" s="17" t="str">
        <f>TEXT(VLOOKUP(A56,Dataset!$A:$O,8,0),"DD-MMM-YYYY")</f>
        <v>21-Jan-2024</v>
      </c>
      <c r="G56" s="37" t="str">
        <f>CONCATENATE(A56," | ",VLOOKUP(A56,Dataset!$A:$O,2,0))</f>
        <v>BUG-017 | Gamma</v>
      </c>
    </row>
    <row r="57" spans="1:7" ht="18" customHeight="1" x14ac:dyDescent="0.25">
      <c r="A57" s="9" t="s">
        <v>73</v>
      </c>
      <c r="B57" s="11" t="str">
        <f>VLOOKUP(A57,Dataset!$A:$O,1,0)</f>
        <v>BUG-018</v>
      </c>
      <c r="C57" s="14" t="str">
        <f t="shared" si="10"/>
        <v>DEF-018</v>
      </c>
      <c r="D57" s="11">
        <f>VLOOKUP(A57,Dataset!$A:$O,11,0)</f>
        <v>7</v>
      </c>
      <c r="E57" s="16" t="str">
        <f t="shared" si="11"/>
        <v>₹ 7.00</v>
      </c>
      <c r="F57" s="18" t="str">
        <f>TEXT(VLOOKUP(A57,Dataset!$A:$O,8,0),"DD-MMM-YYYY")</f>
        <v>22-Jan-2024</v>
      </c>
      <c r="G57" s="43" t="str">
        <f>CONCATENATE(A57," | ",VLOOKUP(A57,Dataset!$A:$O,2,0))</f>
        <v>BUG-018 | Alpha</v>
      </c>
    </row>
    <row r="58" spans="1:7" ht="18" customHeight="1" x14ac:dyDescent="0.25">
      <c r="A58" s="5" t="s">
        <v>75</v>
      </c>
      <c r="B58" s="7" t="str">
        <f>VLOOKUP(A58,Dataset!$A:$O,1,0)</f>
        <v>BUG-019</v>
      </c>
      <c r="C58" s="13" t="str">
        <f t="shared" si="10"/>
        <v>DEF-019</v>
      </c>
      <c r="D58" s="7">
        <f>VLOOKUP(A58,Dataset!$A:$O,11,0)</f>
        <v>3</v>
      </c>
      <c r="E58" s="15" t="str">
        <f t="shared" si="11"/>
        <v>₹ 3.00</v>
      </c>
      <c r="F58" s="17" t="str">
        <f>TEXT(VLOOKUP(A58,Dataset!$A:$O,8,0),"DD-MMM-YYYY")</f>
        <v>23-Jan-2024</v>
      </c>
      <c r="G58" s="37" t="str">
        <f>CONCATENATE(A58," | ",VLOOKUP(A58,Dataset!$A:$O,2,0))</f>
        <v>BUG-019 | Beta</v>
      </c>
    </row>
    <row r="59" spans="1:7" ht="18" customHeight="1" x14ac:dyDescent="0.25">
      <c r="A59" s="9" t="s">
        <v>77</v>
      </c>
      <c r="B59" s="11" t="str">
        <f>VLOOKUP(A59,Dataset!$A:$O,1,0)</f>
        <v>BUG-020</v>
      </c>
      <c r="C59" s="14" t="str">
        <f t="shared" si="10"/>
        <v>DEF-020</v>
      </c>
      <c r="D59" s="11">
        <f>VLOOKUP(A59,Dataset!$A:$O,11,0)</f>
        <v>1</v>
      </c>
      <c r="E59" s="16" t="str">
        <f t="shared" si="11"/>
        <v>₹ 1.00</v>
      </c>
      <c r="F59" s="18" t="str">
        <f>TEXT(VLOOKUP(A59,Dataset!$A:$O,8,0),"DD-MMM-YYYY")</f>
        <v>24-Jan-2024</v>
      </c>
      <c r="G59" s="43" t="str">
        <f>CONCATENATE(A59," | ",VLOOKUP(A59,Dataset!$A:$O,2,0))</f>
        <v>BUG-020 | Gamma</v>
      </c>
    </row>
    <row r="61" spans="1:7" ht="21.75" customHeight="1" x14ac:dyDescent="0.25">
      <c r="A61" s="2" t="s">
        <v>157</v>
      </c>
      <c r="B61" s="2"/>
      <c r="C61" s="2"/>
      <c r="D61" s="2"/>
      <c r="E61" s="2"/>
      <c r="F61" s="2"/>
    </row>
    <row r="62" spans="1:7" ht="30" customHeight="1" x14ac:dyDescent="0.25">
      <c r="A62" s="1" t="s">
        <v>158</v>
      </c>
      <c r="B62" s="1"/>
      <c r="C62" s="1"/>
      <c r="D62" s="1"/>
      <c r="E62" s="1"/>
      <c r="F62" s="1"/>
    </row>
    <row r="63" spans="1:7" x14ac:dyDescent="0.25">
      <c r="A63" s="4" t="s">
        <v>159</v>
      </c>
      <c r="B63" s="4" t="s">
        <v>160</v>
      </c>
      <c r="C63" s="4" t="s">
        <v>161</v>
      </c>
      <c r="D63" s="4" t="s">
        <v>162</v>
      </c>
    </row>
    <row r="64" spans="1:7" x14ac:dyDescent="0.25">
      <c r="A64" s="47">
        <f ca="1">TODAY()</f>
        <v>46192</v>
      </c>
      <c r="B64" s="48" t="s">
        <v>163</v>
      </c>
      <c r="C64" s="13" t="str">
        <f ca="1">TEXT(A64,"DD-MMM-YYYY")</f>
        <v>19-Jun-2026</v>
      </c>
      <c r="D64" s="8" t="s">
        <v>164</v>
      </c>
    </row>
    <row r="65" spans="1:4" x14ac:dyDescent="0.25">
      <c r="A65" s="49">
        <f ca="1">TODAY()</f>
        <v>46192</v>
      </c>
      <c r="B65" s="50" t="s">
        <v>165</v>
      </c>
      <c r="C65" s="14" t="str">
        <f ca="1">TEXT(A65,"MMMM YYYY")</f>
        <v>June 2026</v>
      </c>
      <c r="D65" s="12" t="s">
        <v>166</v>
      </c>
    </row>
    <row r="66" spans="1:4" x14ac:dyDescent="0.25">
      <c r="A66" s="47">
        <f ca="1">TODAY()</f>
        <v>46192</v>
      </c>
      <c r="B66" s="48" t="s">
        <v>167</v>
      </c>
      <c r="C66" s="13" t="str">
        <f ca="1">TEXT(A66,"DDD")</f>
        <v>Fri</v>
      </c>
      <c r="D66" s="8" t="s">
        <v>168</v>
      </c>
    </row>
    <row r="67" spans="1:4" x14ac:dyDescent="0.25">
      <c r="A67" s="9">
        <v>8</v>
      </c>
      <c r="B67" s="50" t="s">
        <v>169</v>
      </c>
      <c r="C67" s="14" t="str">
        <f>TEXT(A67,"$#,##0.00")</f>
        <v>$8.00</v>
      </c>
      <c r="D67" s="12" t="s">
        <v>170</v>
      </c>
    </row>
    <row r="68" spans="1:4" x14ac:dyDescent="0.25">
      <c r="A68" s="5">
        <v>0.876</v>
      </c>
      <c r="B68" s="48" t="s">
        <v>171</v>
      </c>
      <c r="C68" s="13" t="str">
        <f>TEXT(A68,"0.0%")</f>
        <v>87.6%</v>
      </c>
      <c r="D68" s="8" t="s">
        <v>172</v>
      </c>
    </row>
    <row r="69" spans="1:4" x14ac:dyDescent="0.25">
      <c r="A69" s="9">
        <v>12345</v>
      </c>
      <c r="B69" s="50" t="s">
        <v>173</v>
      </c>
      <c r="C69" s="14" t="str">
        <f>TEXT(A69,"#,##0")</f>
        <v>12,345</v>
      </c>
      <c r="D69" s="12" t="s">
        <v>174</v>
      </c>
    </row>
    <row r="70" spans="1:4" x14ac:dyDescent="0.25">
      <c r="A70" s="47">
        <f>DATE(2024,1,5)</f>
        <v>45296</v>
      </c>
      <c r="B70" s="48" t="s">
        <v>175</v>
      </c>
      <c r="C70" s="13" t="str">
        <f>TEXT(A70,"YYYY-MM-DD")</f>
        <v>2024-01-05</v>
      </c>
      <c r="D70" s="8" t="s">
        <v>176</v>
      </c>
    </row>
  </sheetData>
  <mergeCells count="6">
    <mergeCell ref="A62:F62"/>
    <mergeCell ref="A1:I1"/>
    <mergeCell ref="A2:G2"/>
    <mergeCell ref="A25:G25"/>
    <mergeCell ref="A38:G38"/>
    <mergeCell ref="A61:F6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S2_Lookup_Functions</vt:lpstr>
      <vt:lpstr>S3_Logical_Functions</vt:lpstr>
      <vt:lpstr>S4_DateTime_Functions</vt:lpstr>
      <vt:lpstr>S5_Text_Functions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Vigneshwaran M</cp:lastModifiedBy>
  <cp:revision>0</cp:revision>
  <dcterms:created xsi:type="dcterms:W3CDTF">2026-06-09T03:52:13Z</dcterms:created>
  <dcterms:modified xsi:type="dcterms:W3CDTF">2026-06-19T11:06:50Z</dcterms:modified>
  <dc:language>en-US</dc:language>
</cp:coreProperties>
</file>