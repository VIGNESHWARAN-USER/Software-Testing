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Excel Practice\"/>
    </mc:Choice>
  </mc:AlternateContent>
  <xr:revisionPtr revIDLastSave="0" documentId="13_ncr:1_{A1761B47-B33B-41F6-8F77-252E305DCF6F}" xr6:coauthVersionLast="47" xr6:coauthVersionMax="47" xr10:uidLastSave="{00000000-0000-0000-0000-000000000000}"/>
  <bookViews>
    <workbookView xWindow="-120" yWindow="-120" windowWidth="20730" windowHeight="11040" tabRatio="500" firstSheet="1" activeTab="4" xr2:uid="{00000000-000D-0000-FFFF-FFFF00000000}"/>
  </bookViews>
  <sheets>
    <sheet name="Dataset" sheetId="1" r:id="rId1"/>
    <sheet name="Validations" sheetId="2" r:id="rId2"/>
    <sheet name="Advanced Filter" sheetId="3" r:id="rId3"/>
    <sheet name="Advanced Sorting" sheetId="4" r:id="rId4"/>
    <sheet name="Hyper Data Linking" sheetId="5" r:id="rId5"/>
    <sheet name="Math Trig Functions" sheetId="6" r:id="rId6"/>
    <sheet name="Extra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6" i="7" l="1"/>
  <c r="B35" i="7"/>
  <c r="B34" i="7"/>
  <c r="B33" i="7"/>
  <c r="D25" i="7"/>
  <c r="C25" i="7"/>
  <c r="B25" i="7"/>
  <c r="D20" i="7"/>
  <c r="D19" i="7"/>
  <c r="D18" i="7"/>
  <c r="D17" i="7"/>
  <c r="D16" i="7"/>
  <c r="B11" i="6"/>
  <c r="C11" i="6" s="1"/>
  <c r="B10" i="6"/>
  <c r="C10" i="6" s="1"/>
  <c r="B9" i="6"/>
  <c r="C9" i="6" s="1"/>
  <c r="B8" i="6"/>
  <c r="C8" i="6" s="1"/>
  <c r="B7" i="6"/>
  <c r="C7" i="6" s="1"/>
  <c r="B6" i="6"/>
  <c r="C6" i="6" s="1"/>
  <c r="B5" i="6"/>
  <c r="C5" i="6" s="1"/>
  <c r="B4" i="6"/>
  <c r="C4" i="6" s="1"/>
  <c r="B3" i="6"/>
  <c r="C3" i="6" s="1"/>
  <c r="B8" i="5"/>
  <c r="B7" i="5"/>
  <c r="B6" i="5"/>
  <c r="B5" i="5"/>
  <c r="B4" i="5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L38" i="3"/>
  <c r="K38" i="3"/>
  <c r="J38" i="3"/>
  <c r="I38" i="3"/>
  <c r="H38" i="3"/>
  <c r="G38" i="3"/>
  <c r="F38" i="3"/>
  <c r="E38" i="3"/>
  <c r="D38" i="3"/>
  <c r="C38" i="3"/>
  <c r="B38" i="3"/>
  <c r="A38" i="3"/>
  <c r="L37" i="3"/>
  <c r="K37" i="3"/>
  <c r="J37" i="3"/>
  <c r="I37" i="3"/>
  <c r="H37" i="3"/>
  <c r="G37" i="3"/>
  <c r="F37" i="3"/>
  <c r="E37" i="3"/>
  <c r="D37" i="3"/>
  <c r="C37" i="3"/>
  <c r="B37" i="3"/>
  <c r="A37" i="3"/>
  <c r="L36" i="3"/>
  <c r="K36" i="3"/>
  <c r="J36" i="3"/>
  <c r="I36" i="3"/>
  <c r="G36" i="3"/>
  <c r="F36" i="3"/>
  <c r="E36" i="3"/>
  <c r="D36" i="3"/>
  <c r="C36" i="3"/>
  <c r="B36" i="3"/>
  <c r="A36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A32" i="3" s="1"/>
  <c r="G22" i="2"/>
  <c r="D22" i="2"/>
  <c r="C22" i="2"/>
  <c r="G21" i="2"/>
  <c r="D21" i="2"/>
  <c r="C21" i="2"/>
  <c r="G20" i="2"/>
  <c r="D20" i="2"/>
  <c r="C20" i="2"/>
  <c r="G19" i="2"/>
  <c r="D19" i="2"/>
  <c r="C19" i="2"/>
  <c r="G18" i="2"/>
  <c r="D18" i="2"/>
  <c r="C18" i="2"/>
  <c r="G17" i="2"/>
  <c r="D17" i="2"/>
  <c r="C17" i="2"/>
  <c r="G16" i="2"/>
  <c r="D16" i="2"/>
  <c r="C16" i="2"/>
  <c r="G15" i="2"/>
  <c r="D15" i="2"/>
  <c r="C15" i="2"/>
  <c r="G14" i="2"/>
  <c r="D14" i="2"/>
  <c r="C14" i="2"/>
  <c r="G13" i="2"/>
  <c r="D13" i="2"/>
  <c r="C13" i="2"/>
  <c r="G12" i="2"/>
  <c r="D12" i="2"/>
  <c r="C12" i="2"/>
  <c r="G11" i="2"/>
  <c r="D11" i="2"/>
  <c r="C11" i="2"/>
  <c r="G10" i="2"/>
  <c r="D10" i="2"/>
  <c r="C10" i="2"/>
  <c r="G9" i="2"/>
  <c r="D9" i="2"/>
  <c r="C9" i="2"/>
  <c r="G8" i="2"/>
  <c r="D8" i="2"/>
  <c r="C8" i="2"/>
  <c r="G7" i="2"/>
  <c r="D7" i="2"/>
  <c r="C7" i="2"/>
  <c r="G6" i="2"/>
  <c r="D6" i="2"/>
  <c r="C6" i="2"/>
  <c r="G5" i="2"/>
  <c r="D5" i="2"/>
  <c r="C5" i="2"/>
  <c r="G4" i="2"/>
  <c r="D4" i="2"/>
  <c r="C4" i="2"/>
  <c r="G3" i="2"/>
  <c r="D3" i="2"/>
  <c r="C3" i="2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36" i="3" s="1"/>
  <c r="H6" i="1"/>
  <c r="H5" i="1"/>
  <c r="H4" i="1"/>
  <c r="H3" i="1"/>
</calcChain>
</file>

<file path=xl/sharedStrings.xml><?xml version="1.0" encoding="utf-8"?>
<sst xmlns="http://schemas.openxmlformats.org/spreadsheetml/2006/main" count="787" uniqueCount="219">
  <si>
    <t>Software Bug Tracker – QA Training Dataset</t>
  </si>
  <si>
    <t>Bug ID</t>
  </si>
  <si>
    <t>Module</t>
  </si>
  <si>
    <t>Tester</t>
  </si>
  <si>
    <t>Priority</t>
  </si>
  <si>
    <t>Status</t>
  </si>
  <si>
    <t>Reported Date</t>
  </si>
  <si>
    <t>Resolved Date</t>
  </si>
  <si>
    <t>Days Open</t>
  </si>
  <si>
    <t>Test Cases Run</t>
  </si>
  <si>
    <t>Test Cases Passed</t>
  </si>
  <si>
    <t>Test Cases Failed</t>
  </si>
  <si>
    <t>Remarks</t>
  </si>
  <si>
    <t>BUG001</t>
  </si>
  <si>
    <t>Login</t>
  </si>
  <si>
    <t>Alice</t>
  </si>
  <si>
    <t>High</t>
  </si>
  <si>
    <t>Open</t>
  </si>
  <si>
    <t>2024-01-05</t>
  </si>
  <si>
    <t>10</t>
  </si>
  <si>
    <t>8</t>
  </si>
  <si>
    <t>2</t>
  </si>
  <si>
    <t>Blocking issue</t>
  </si>
  <si>
    <t>BUG002</t>
  </si>
  <si>
    <t>Dashboard</t>
  </si>
  <si>
    <t>Bob</t>
  </si>
  <si>
    <t>Medium</t>
  </si>
  <si>
    <t>Closed</t>
  </si>
  <si>
    <t>2024-01-06</t>
  </si>
  <si>
    <t>2024-01-10</t>
  </si>
  <si>
    <t>20</t>
  </si>
  <si>
    <t>18</t>
  </si>
  <si>
    <t>UI glitch</t>
  </si>
  <si>
    <t>BUG003</t>
  </si>
  <si>
    <t>Reports</t>
  </si>
  <si>
    <t>Low</t>
  </si>
  <si>
    <t>2024-01-07</t>
  </si>
  <si>
    <t>15</t>
  </si>
  <si>
    <t>0</t>
  </si>
  <si>
    <t>Minor</t>
  </si>
  <si>
    <t>BUG004</t>
  </si>
  <si>
    <t>Charlie</t>
  </si>
  <si>
    <t>2024-01-08</t>
  </si>
  <si>
    <t>2024-01-09</t>
  </si>
  <si>
    <t>12</t>
  </si>
  <si>
    <t>Auth fail</t>
  </si>
  <si>
    <t>BUG005</t>
  </si>
  <si>
    <t>Payments</t>
  </si>
  <si>
    <t>Critical</t>
  </si>
  <si>
    <t>5</t>
  </si>
  <si>
    <t>3</t>
  </si>
  <si>
    <t>Data loss risk</t>
  </si>
  <si>
    <t>BUG006</t>
  </si>
  <si>
    <t>2024-01-11</t>
  </si>
  <si>
    <t>2024-01-15</t>
  </si>
  <si>
    <t>16</t>
  </si>
  <si>
    <t>Layout break</t>
  </si>
  <si>
    <t>BUG007</t>
  </si>
  <si>
    <t>2024-01-12</t>
  </si>
  <si>
    <t>22</t>
  </si>
  <si>
    <t>Export issue</t>
  </si>
  <si>
    <t>BUG008</t>
  </si>
  <si>
    <t>2024-01-13</t>
  </si>
  <si>
    <t>2024-01-14</t>
  </si>
  <si>
    <t>9</t>
  </si>
  <si>
    <t>7</t>
  </si>
  <si>
    <t>Security patch</t>
  </si>
  <si>
    <t>BUG009</t>
  </si>
  <si>
    <t>11</t>
  </si>
  <si>
    <t>Session bug</t>
  </si>
  <si>
    <t>BUG010</t>
  </si>
  <si>
    <t>2024-01-16</t>
  </si>
  <si>
    <t>2024-01-20</t>
  </si>
  <si>
    <t>14</t>
  </si>
  <si>
    <t>Chart error</t>
  </si>
  <si>
    <t>BUG011</t>
  </si>
  <si>
    <t>2024-01-17</t>
  </si>
  <si>
    <t>2024-01-22</t>
  </si>
  <si>
    <t>Fixed</t>
  </si>
  <si>
    <t>BUG012</t>
  </si>
  <si>
    <t>2024-01-18</t>
  </si>
  <si>
    <t>4</t>
  </si>
  <si>
    <t>Payment fail</t>
  </si>
  <si>
    <t>BUG013</t>
  </si>
  <si>
    <t>2024-01-19</t>
  </si>
  <si>
    <t>2024-01-21</t>
  </si>
  <si>
    <t>13</t>
  </si>
  <si>
    <t>OTP bug</t>
  </si>
  <si>
    <t>BUG014</t>
  </si>
  <si>
    <t>17</t>
  </si>
  <si>
    <t>Render issue</t>
  </si>
  <si>
    <t>BUG015</t>
  </si>
  <si>
    <t>21</t>
  </si>
  <si>
    <t>19</t>
  </si>
  <si>
    <t>PDF export</t>
  </si>
  <si>
    <t>BUG016</t>
  </si>
  <si>
    <t>2024-01-25</t>
  </si>
  <si>
    <t>6</t>
  </si>
  <si>
    <t>1</t>
  </si>
  <si>
    <t>Gateway fix</t>
  </si>
  <si>
    <t>BUG017</t>
  </si>
  <si>
    <t>2024-01-23</t>
  </si>
  <si>
    <t>Timeout</t>
  </si>
  <si>
    <t>BUG018</t>
  </si>
  <si>
    <t>2024-01-24</t>
  </si>
  <si>
    <t>2024-01-28</t>
  </si>
  <si>
    <t>UI</t>
  </si>
  <si>
    <t>BUG019</t>
  </si>
  <si>
    <t>2024-01-29</t>
  </si>
  <si>
    <t>Resolved</t>
  </si>
  <si>
    <t>BUG020</t>
  </si>
  <si>
    <t>2024-01-26</t>
  </si>
  <si>
    <t>Amount mismatch</t>
  </si>
  <si>
    <t>Validations – Drop-Down, Error Alerts &amp; Conditional Formatting</t>
  </si>
  <si>
    <t>Pass %</t>
  </si>
  <si>
    <t>Advanced Filter – Criteria &amp; Results</t>
  </si>
  <si>
    <t>▶ Criteria Area (Advanced Filter – filter Critical + Open bugs)</t>
  </si>
  <si>
    <t>▶ Formula Criteria: Days Open &gt; 10  (use =H3&gt;10 in criteria)</t>
  </si>
  <si>
    <t>Days Open &gt;10</t>
  </si>
  <si>
    <t>▶ Extracted Results (Priority = Critical AND Status = Open)</t>
  </si>
  <si>
    <t>Note: In Excel, use Data → Advanced → Copy to another location, with the criteria range A26:B27, to regenerate this extract automatically.</t>
  </si>
  <si>
    <t>Advanced Sorting – Custom Lists &amp; Multi-Level Sort</t>
  </si>
  <si>
    <t>Sort Order (Priority)</t>
  </si>
  <si>
    <t>Custom Sort Explanation</t>
  </si>
  <si>
    <t>Data sorted: Critical→High→Medium→Low, then A→Z by Module</t>
  </si>
  <si>
    <t>Custom List Order used: Critical &gt; High &gt; Medium &gt; Low</t>
  </si>
  <si>
    <t>Steps: Data → Sort → Add Level → Sort by Priority → Order: Custom List</t>
  </si>
  <si>
    <t>Hyper / Data Linking – Within Sheet, Between Sheets &amp; External</t>
  </si>
  <si>
    <t>Type</t>
  </si>
  <si>
    <t>Link / Formula</t>
  </si>
  <si>
    <t>Value Pulled</t>
  </si>
  <si>
    <t>Notes</t>
  </si>
  <si>
    <t>Within-Sheet Hyperlink</t>
  </si>
  <si>
    <t>Click to navigate</t>
  </si>
  <si>
    <t>Navigates within same sheet</t>
  </si>
  <si>
    <t>External Link Example</t>
  </si>
  <si>
    <t>Click link</t>
  </si>
  <si>
    <t>Links to external website</t>
  </si>
  <si>
    <t>Between-Sheets Hyperlink</t>
  </si>
  <si>
    <t>Navigates to a different sheet</t>
  </si>
  <si>
    <t>Cross-Sheet Data Pull</t>
  </si>
  <si>
    <t>Live value from Dataset</t>
  </si>
  <si>
    <t>Updates automatically if Dataset changes</t>
  </si>
  <si>
    <t>Email Link</t>
  </si>
  <si>
    <t>Click to email</t>
  </si>
  <si>
    <t>Opens default mail client</t>
  </si>
  <si>
    <t>← Hyperlink lands here (Row 20)</t>
  </si>
  <si>
    <t>Math &amp; Trig Functions – SUMPRODUCT, FLOOR, CEILING, MROUND, MOD, QUOTIENT</t>
  </si>
  <si>
    <t>Function</t>
  </si>
  <si>
    <t>Formula Used</t>
  </si>
  <si>
    <t>Result</t>
  </si>
  <si>
    <t>Description</t>
  </si>
  <si>
    <t>Example Value</t>
  </si>
  <si>
    <t>SUMPRODUCT</t>
  </si>
  <si>
    <t>Weighted avg pass rate across all bugs</t>
  </si>
  <si>
    <t>SUM</t>
  </si>
  <si>
    <t>Total test cases run</t>
  </si>
  <si>
    <t>FLOOR</t>
  </si>
  <si>
    <t>Round DOWN to nearest 5</t>
  </si>
  <si>
    <t>87.6</t>
  </si>
  <si>
    <t>CEILING</t>
  </si>
  <si>
    <t>Round UP to nearest 5</t>
  </si>
  <si>
    <t>MROUND</t>
  </si>
  <si>
    <t>Round to nearest multiple of 5</t>
  </si>
  <si>
    <t>MOD</t>
  </si>
  <si>
    <t>Remainder of 22÷5</t>
  </si>
  <si>
    <t>QUOTIENT</t>
  </si>
  <si>
    <t>Integer part of 22÷5</t>
  </si>
  <si>
    <t>MOD (Bug Check)</t>
  </si>
  <si>
    <t>Odd/Even row check (used in alt-row formatting)</t>
  </si>
  <si>
    <t>SUMPRODUCT (Critical bugs score)</t>
  </si>
  <si>
    <t>Total failed TCs for Critical bugs</t>
  </si>
  <si>
    <t>Extra Topics – Errors, CONCATENATE, Text to Columns, VBA, Gridlines, Chart</t>
  </si>
  <si>
    <t>A. Common Excel Errors</t>
  </si>
  <si>
    <t>Error</t>
  </si>
  <si>
    <t>Trigger Formula (Demo)</t>
  </si>
  <si>
    <t>What It Means</t>
  </si>
  <si>
    <t>How to Fix</t>
  </si>
  <si>
    <t>DIV/0 error</t>
  </si>
  <si>
    <t>=1/0 causes this</t>
  </si>
  <si>
    <t>Fix: =IFERROR(1/0,0)</t>
  </si>
  <si>
    <t>Division by zero</t>
  </si>
  <si>
    <t>NULL error</t>
  </si>
  <si>
    <t>=SUM(A1 B1) causes this</t>
  </si>
  <si>
    <t>Fix: =SUM(A1,B1)</t>
  </si>
  <si>
    <t>Bad range operator</t>
  </si>
  <si>
    <t>N/A error</t>
  </si>
  <si>
    <t>VLOOKUP no match causes this</t>
  </si>
  <si>
    <t>Fix: wrap with IFERROR</t>
  </si>
  <si>
    <t>Lookup value not found</t>
  </si>
  <si>
    <t>#ERR</t>
  </si>
  <si>
    <t>Generic syntax error</t>
  </si>
  <si>
    <t>Fix: check formula spelling</t>
  </si>
  <si>
    <t>Typo in function</t>
  </si>
  <si>
    <t>REF error</t>
  </si>
  <si>
    <t>Deleting ref cell causes this</t>
  </si>
  <si>
    <t>Fix: re-enter valid ref</t>
  </si>
  <si>
    <t>Deleted cell reference</t>
  </si>
  <si>
    <t>VALUE error</t>
  </si>
  <si>
    <t>=1+text causes this</t>
  </si>
  <si>
    <t>Fix: ensure numeric input</t>
  </si>
  <si>
    <t>Wrong data type</t>
  </si>
  <si>
    <t>NAME error</t>
  </si>
  <si>
    <t>=SUMO(A1) typo causes this</t>
  </si>
  <si>
    <t>Fix: =SUM(A1)</t>
  </si>
  <si>
    <t>Unrecognised function</t>
  </si>
  <si>
    <t>B. CONCATENATE / CONCAT / &amp; Operator</t>
  </si>
  <si>
    <t>Concatenated Label</t>
  </si>
  <si>
    <t>C. Text to Columns (Delimiter Demo)</t>
  </si>
  <si>
    <t>Original Text</t>
  </si>
  <si>
    <t>Split Part 1</t>
  </si>
  <si>
    <t>Split Part 2</t>
  </si>
  <si>
    <t>Split Part 3</t>
  </si>
  <si>
    <t>BUG001-Login-High</t>
  </si>
  <si>
    <t>Note: Data → Text to Columns (Delimited by "-") performs this split natively without formulas.</t>
  </si>
  <si>
    <t>D. Gridlines</t>
  </si>
  <si>
    <t>Note: Toggle via View tab → uncheck Gridlines, or Page Layout → Sheet Options → Gridlines → View.</t>
  </si>
  <si>
    <t>E. Chart Demo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</si>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</sst>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1F4E79"/>
      <name val="Arial"/>
      <charset val="1"/>
    </font>
    <font>
      <b/>
      <sz val="10"/>
      <color rgb="FFC00000"/>
      <name val="Arial"/>
      <charset val="1"/>
    </font>
    <font>
      <i/>
      <sz val="9"/>
      <color rgb="FF595959"/>
      <name val="Arial"/>
      <charset val="1"/>
    </font>
    <font>
      <b/>
      <sz val="11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D9D9D9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medium">
        <color rgb="FF1F4E79"/>
      </top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5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6" fillId="0" borderId="2" xfId="0" applyFont="1" applyBorder="1" applyAlignment="1">
      <alignment horizontal="center"/>
    </xf>
    <xf numFmtId="0" fontId="4" fillId="0" borderId="0" xfId="0" applyFont="1" applyAlignment="1"/>
    <xf numFmtId="0" fontId="2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left" wrapText="1"/>
    </xf>
    <xf numFmtId="0" fontId="7" fillId="0" borderId="0" xfId="0" applyFont="1" applyAlignment="1"/>
    <xf numFmtId="0" fontId="3" fillId="0" borderId="2" xfId="0" applyFont="1" applyBorder="1" applyAlignment="1">
      <alignment horizontal="left" wrapText="1"/>
    </xf>
    <xf numFmtId="164" fontId="3" fillId="0" borderId="2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4F81BD"/>
      <rgbColor rgb="FF9999FF"/>
      <rgbColor rgb="FFC0504D"/>
      <rgbColor rgb="FFFFF2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Bugs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Extra!$B$32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E49-4C5A-BBC1-33E29B7DAED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E49-4C5A-BBC1-33E29B7DAED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E49-4C5A-BBC1-33E29B7DAED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E49-4C5A-BBC1-33E29B7DAED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E49-4C5A-BBC1-33E29B7DAED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E49-4C5A-BBC1-33E29B7DAED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E49-4C5A-BBC1-33E29B7DAED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4E49-4C5A-BBC1-33E29B7DAE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Extra!$A$33:$A$36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Extra!$B$33:$B$36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49-4C5A-BBC1-33E29B7DA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30</xdr:row>
      <xdr:rowOff>0</xdr:rowOff>
    </xdr:from>
    <xdr:to>
      <xdr:col>8</xdr:col>
      <xdr:colOff>465840</xdr:colOff>
      <xdr:row>45</xdr:row>
      <xdr:rowOff>164160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9" style="3" customWidth="1"/>
    <col min="2" max="2" width="12" style="3" customWidth="1"/>
    <col min="3" max="5" width="10" style="3" customWidth="1"/>
    <col min="6" max="7" width="14" style="3" customWidth="1"/>
    <col min="8" max="8" width="10" style="3" customWidth="1"/>
    <col min="9" max="9" width="14" style="3" customWidth="1"/>
    <col min="10" max="10" width="16" style="3" customWidth="1"/>
    <col min="11" max="11" width="15" style="3" customWidth="1"/>
    <col min="12" max="12" width="16" style="3" customWidth="1"/>
  </cols>
  <sheetData>
    <row r="1" spans="1:12" ht="24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5" customHeight="1" x14ac:dyDescent="0.2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/>
      <c r="H3" s="5">
        <f t="shared" ref="H3:H22" ca="1" si="0">IF(G3&lt;&gt;"",INT(G3-F3),INT(TODAY()-F3))</f>
        <v>896</v>
      </c>
      <c r="I3" s="5" t="s">
        <v>19</v>
      </c>
      <c r="J3" s="5" t="s">
        <v>20</v>
      </c>
      <c r="K3" s="5" t="s">
        <v>21</v>
      </c>
      <c r="L3" s="5" t="s">
        <v>22</v>
      </c>
    </row>
    <row r="4" spans="1:12" ht="15" customHeight="1" x14ac:dyDescent="0.25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>
        <f t="shared" ca="1" si="0"/>
        <v>4</v>
      </c>
      <c r="I4" s="6" t="s">
        <v>30</v>
      </c>
      <c r="J4" s="6" t="s">
        <v>31</v>
      </c>
      <c r="K4" s="6" t="s">
        <v>21</v>
      </c>
      <c r="L4" s="6" t="s">
        <v>32</v>
      </c>
    </row>
    <row r="5" spans="1:12" ht="15" customHeight="1" x14ac:dyDescent="0.25">
      <c r="A5" s="5" t="s">
        <v>33</v>
      </c>
      <c r="B5" s="5" t="s">
        <v>34</v>
      </c>
      <c r="C5" s="5" t="s">
        <v>15</v>
      </c>
      <c r="D5" s="5" t="s">
        <v>35</v>
      </c>
      <c r="E5" s="5" t="s">
        <v>17</v>
      </c>
      <c r="F5" s="5" t="s">
        <v>36</v>
      </c>
      <c r="G5" s="5"/>
      <c r="H5" s="5">
        <f t="shared" ca="1" si="0"/>
        <v>894</v>
      </c>
      <c r="I5" s="5" t="s">
        <v>37</v>
      </c>
      <c r="J5" s="5" t="s">
        <v>37</v>
      </c>
      <c r="K5" s="5" t="s">
        <v>38</v>
      </c>
      <c r="L5" s="5" t="s">
        <v>39</v>
      </c>
    </row>
    <row r="6" spans="1:12" ht="15" customHeight="1" x14ac:dyDescent="0.25">
      <c r="A6" s="6" t="s">
        <v>40</v>
      </c>
      <c r="B6" s="6" t="s">
        <v>14</v>
      </c>
      <c r="C6" s="6" t="s">
        <v>41</v>
      </c>
      <c r="D6" s="6" t="s">
        <v>16</v>
      </c>
      <c r="E6" s="6" t="s">
        <v>27</v>
      </c>
      <c r="F6" s="6" t="s">
        <v>42</v>
      </c>
      <c r="G6" s="6" t="s">
        <v>43</v>
      </c>
      <c r="H6" s="6">
        <f t="shared" ca="1" si="0"/>
        <v>1</v>
      </c>
      <c r="I6" s="6" t="s">
        <v>44</v>
      </c>
      <c r="J6" s="6" t="s">
        <v>19</v>
      </c>
      <c r="K6" s="6" t="s">
        <v>21</v>
      </c>
      <c r="L6" s="6" t="s">
        <v>45</v>
      </c>
    </row>
    <row r="7" spans="1:12" ht="15" customHeight="1" x14ac:dyDescent="0.25">
      <c r="A7" s="5" t="s">
        <v>46</v>
      </c>
      <c r="B7" s="5" t="s">
        <v>47</v>
      </c>
      <c r="C7" s="5" t="s">
        <v>25</v>
      </c>
      <c r="D7" s="5" t="s">
        <v>48</v>
      </c>
      <c r="E7" s="5" t="s">
        <v>17</v>
      </c>
      <c r="F7" s="5" t="s">
        <v>29</v>
      </c>
      <c r="G7" s="5"/>
      <c r="H7" s="5">
        <f t="shared" ca="1" si="0"/>
        <v>891</v>
      </c>
      <c r="I7" s="5" t="s">
        <v>20</v>
      </c>
      <c r="J7" s="5" t="s">
        <v>49</v>
      </c>
      <c r="K7" s="5" t="s">
        <v>50</v>
      </c>
      <c r="L7" s="5" t="s">
        <v>51</v>
      </c>
    </row>
    <row r="8" spans="1:12" ht="15" customHeight="1" x14ac:dyDescent="0.25">
      <c r="A8" s="6" t="s">
        <v>52</v>
      </c>
      <c r="B8" s="6" t="s">
        <v>24</v>
      </c>
      <c r="C8" s="6" t="s">
        <v>15</v>
      </c>
      <c r="D8" s="6" t="s">
        <v>26</v>
      </c>
      <c r="E8" s="6" t="s">
        <v>27</v>
      </c>
      <c r="F8" s="6" t="s">
        <v>53</v>
      </c>
      <c r="G8" s="6" t="s">
        <v>54</v>
      </c>
      <c r="H8" s="6">
        <f t="shared" ca="1" si="0"/>
        <v>4</v>
      </c>
      <c r="I8" s="6" t="s">
        <v>31</v>
      </c>
      <c r="J8" s="6" t="s">
        <v>55</v>
      </c>
      <c r="K8" s="6" t="s">
        <v>21</v>
      </c>
      <c r="L8" s="6" t="s">
        <v>56</v>
      </c>
    </row>
    <row r="9" spans="1:12" ht="15" customHeight="1" x14ac:dyDescent="0.25">
      <c r="A9" s="5" t="s">
        <v>57</v>
      </c>
      <c r="B9" s="5" t="s">
        <v>34</v>
      </c>
      <c r="C9" s="5" t="s">
        <v>41</v>
      </c>
      <c r="D9" s="5" t="s">
        <v>35</v>
      </c>
      <c r="E9" s="5" t="s">
        <v>17</v>
      </c>
      <c r="F9" s="5" t="s">
        <v>58</v>
      </c>
      <c r="G9" s="5"/>
      <c r="H9" s="5">
        <f t="shared" ca="1" si="0"/>
        <v>889</v>
      </c>
      <c r="I9" s="5" t="s">
        <v>59</v>
      </c>
      <c r="J9" s="5" t="s">
        <v>30</v>
      </c>
      <c r="K9" s="5" t="s">
        <v>21</v>
      </c>
      <c r="L9" s="5" t="s">
        <v>60</v>
      </c>
    </row>
    <row r="10" spans="1:12" ht="15" customHeight="1" x14ac:dyDescent="0.25">
      <c r="A10" s="6" t="s">
        <v>61</v>
      </c>
      <c r="B10" s="6" t="s">
        <v>47</v>
      </c>
      <c r="C10" s="6" t="s">
        <v>15</v>
      </c>
      <c r="D10" s="6" t="s">
        <v>48</v>
      </c>
      <c r="E10" s="6" t="s">
        <v>27</v>
      </c>
      <c r="F10" s="6" t="s">
        <v>62</v>
      </c>
      <c r="G10" s="6" t="s">
        <v>63</v>
      </c>
      <c r="H10" s="6">
        <f t="shared" ca="1" si="0"/>
        <v>1</v>
      </c>
      <c r="I10" s="6" t="s">
        <v>64</v>
      </c>
      <c r="J10" s="6" t="s">
        <v>65</v>
      </c>
      <c r="K10" s="6" t="s">
        <v>21</v>
      </c>
      <c r="L10" s="6" t="s">
        <v>66</v>
      </c>
    </row>
    <row r="11" spans="1:12" ht="15" customHeight="1" x14ac:dyDescent="0.25">
      <c r="A11" s="5" t="s">
        <v>67</v>
      </c>
      <c r="B11" s="5" t="s">
        <v>14</v>
      </c>
      <c r="C11" s="5" t="s">
        <v>25</v>
      </c>
      <c r="D11" s="5" t="s">
        <v>16</v>
      </c>
      <c r="E11" s="5" t="s">
        <v>17</v>
      </c>
      <c r="F11" s="5" t="s">
        <v>54</v>
      </c>
      <c r="G11" s="5"/>
      <c r="H11" s="5">
        <f t="shared" ca="1" si="0"/>
        <v>886</v>
      </c>
      <c r="I11" s="5" t="s">
        <v>68</v>
      </c>
      <c r="J11" s="5" t="s">
        <v>64</v>
      </c>
      <c r="K11" s="5" t="s">
        <v>21</v>
      </c>
      <c r="L11" s="5" t="s">
        <v>69</v>
      </c>
    </row>
    <row r="12" spans="1:12" ht="15" customHeight="1" x14ac:dyDescent="0.25">
      <c r="A12" s="6" t="s">
        <v>70</v>
      </c>
      <c r="B12" s="6" t="s">
        <v>24</v>
      </c>
      <c r="C12" s="6" t="s">
        <v>41</v>
      </c>
      <c r="D12" s="6" t="s">
        <v>26</v>
      </c>
      <c r="E12" s="6" t="s">
        <v>27</v>
      </c>
      <c r="F12" s="6" t="s">
        <v>71</v>
      </c>
      <c r="G12" s="6" t="s">
        <v>72</v>
      </c>
      <c r="H12" s="6">
        <f t="shared" ca="1" si="0"/>
        <v>4</v>
      </c>
      <c r="I12" s="6" t="s">
        <v>55</v>
      </c>
      <c r="J12" s="6" t="s">
        <v>73</v>
      </c>
      <c r="K12" s="6" t="s">
        <v>21</v>
      </c>
      <c r="L12" s="6" t="s">
        <v>74</v>
      </c>
    </row>
    <row r="13" spans="1:12" ht="15" customHeight="1" x14ac:dyDescent="0.25">
      <c r="A13" s="5" t="s">
        <v>75</v>
      </c>
      <c r="B13" s="5" t="s">
        <v>34</v>
      </c>
      <c r="C13" s="5" t="s">
        <v>15</v>
      </c>
      <c r="D13" s="5" t="s">
        <v>35</v>
      </c>
      <c r="E13" s="5" t="s">
        <v>27</v>
      </c>
      <c r="F13" s="5" t="s">
        <v>76</v>
      </c>
      <c r="G13" s="5" t="s">
        <v>77</v>
      </c>
      <c r="H13" s="5">
        <f t="shared" ca="1" si="0"/>
        <v>5</v>
      </c>
      <c r="I13" s="5" t="s">
        <v>73</v>
      </c>
      <c r="J13" s="5" t="s">
        <v>73</v>
      </c>
      <c r="K13" s="5" t="s">
        <v>38</v>
      </c>
      <c r="L13" s="5" t="s">
        <v>78</v>
      </c>
    </row>
    <row r="14" spans="1:12" ht="15" customHeight="1" x14ac:dyDescent="0.25">
      <c r="A14" s="6" t="s">
        <v>79</v>
      </c>
      <c r="B14" s="6" t="s">
        <v>47</v>
      </c>
      <c r="C14" s="6" t="s">
        <v>25</v>
      </c>
      <c r="D14" s="6" t="s">
        <v>48</v>
      </c>
      <c r="E14" s="6" t="s">
        <v>17</v>
      </c>
      <c r="F14" s="6" t="s">
        <v>80</v>
      </c>
      <c r="G14" s="6"/>
      <c r="H14" s="6">
        <f t="shared" ca="1" si="0"/>
        <v>883</v>
      </c>
      <c r="I14" s="6" t="s">
        <v>65</v>
      </c>
      <c r="J14" s="6" t="s">
        <v>81</v>
      </c>
      <c r="K14" s="6" t="s">
        <v>50</v>
      </c>
      <c r="L14" s="6" t="s">
        <v>82</v>
      </c>
    </row>
    <row r="15" spans="1:12" ht="15" customHeight="1" x14ac:dyDescent="0.25">
      <c r="A15" s="5" t="s">
        <v>83</v>
      </c>
      <c r="B15" s="5" t="s">
        <v>14</v>
      </c>
      <c r="C15" s="5" t="s">
        <v>41</v>
      </c>
      <c r="D15" s="5" t="s">
        <v>16</v>
      </c>
      <c r="E15" s="5" t="s">
        <v>27</v>
      </c>
      <c r="F15" s="5" t="s">
        <v>84</v>
      </c>
      <c r="G15" s="5" t="s">
        <v>85</v>
      </c>
      <c r="H15" s="5">
        <f t="shared" ca="1" si="0"/>
        <v>2</v>
      </c>
      <c r="I15" s="5" t="s">
        <v>86</v>
      </c>
      <c r="J15" s="5" t="s">
        <v>68</v>
      </c>
      <c r="K15" s="5" t="s">
        <v>21</v>
      </c>
      <c r="L15" s="5" t="s">
        <v>87</v>
      </c>
    </row>
    <row r="16" spans="1:12" ht="15" customHeight="1" x14ac:dyDescent="0.25">
      <c r="A16" s="6" t="s">
        <v>88</v>
      </c>
      <c r="B16" s="6" t="s">
        <v>24</v>
      </c>
      <c r="C16" s="6" t="s">
        <v>15</v>
      </c>
      <c r="D16" s="6" t="s">
        <v>26</v>
      </c>
      <c r="E16" s="6" t="s">
        <v>17</v>
      </c>
      <c r="F16" s="6" t="s">
        <v>72</v>
      </c>
      <c r="G16" s="6"/>
      <c r="H16" s="6">
        <f t="shared" ca="1" si="0"/>
        <v>881</v>
      </c>
      <c r="I16" s="6" t="s">
        <v>89</v>
      </c>
      <c r="J16" s="6" t="s">
        <v>37</v>
      </c>
      <c r="K16" s="6" t="s">
        <v>21</v>
      </c>
      <c r="L16" s="6" t="s">
        <v>90</v>
      </c>
    </row>
    <row r="17" spans="1:12" ht="15" customHeight="1" x14ac:dyDescent="0.25">
      <c r="A17" s="5" t="s">
        <v>91</v>
      </c>
      <c r="B17" s="5" t="s">
        <v>34</v>
      </c>
      <c r="C17" s="5" t="s">
        <v>25</v>
      </c>
      <c r="D17" s="5" t="s">
        <v>35</v>
      </c>
      <c r="E17" s="5" t="s">
        <v>17</v>
      </c>
      <c r="F17" s="5" t="s">
        <v>85</v>
      </c>
      <c r="G17" s="5"/>
      <c r="H17" s="5">
        <f t="shared" ca="1" si="0"/>
        <v>880</v>
      </c>
      <c r="I17" s="5" t="s">
        <v>92</v>
      </c>
      <c r="J17" s="5" t="s">
        <v>93</v>
      </c>
      <c r="K17" s="5" t="s">
        <v>21</v>
      </c>
      <c r="L17" s="5" t="s">
        <v>94</v>
      </c>
    </row>
    <row r="18" spans="1:12" ht="15" customHeight="1" x14ac:dyDescent="0.25">
      <c r="A18" s="6" t="s">
        <v>95</v>
      </c>
      <c r="B18" s="6" t="s">
        <v>47</v>
      </c>
      <c r="C18" s="6" t="s">
        <v>41</v>
      </c>
      <c r="D18" s="6" t="s">
        <v>48</v>
      </c>
      <c r="E18" s="6" t="s">
        <v>27</v>
      </c>
      <c r="F18" s="6" t="s">
        <v>77</v>
      </c>
      <c r="G18" s="6" t="s">
        <v>96</v>
      </c>
      <c r="H18" s="6">
        <f t="shared" ca="1" si="0"/>
        <v>3</v>
      </c>
      <c r="I18" s="6" t="s">
        <v>97</v>
      </c>
      <c r="J18" s="6" t="s">
        <v>49</v>
      </c>
      <c r="K18" s="6" t="s">
        <v>98</v>
      </c>
      <c r="L18" s="6" t="s">
        <v>99</v>
      </c>
    </row>
    <row r="19" spans="1:12" ht="15" customHeight="1" x14ac:dyDescent="0.25">
      <c r="A19" s="5" t="s">
        <v>100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101</v>
      </c>
      <c r="G19" s="5"/>
      <c r="H19" s="5">
        <f t="shared" ca="1" si="0"/>
        <v>878</v>
      </c>
      <c r="I19" s="5" t="s">
        <v>19</v>
      </c>
      <c r="J19" s="5" t="s">
        <v>65</v>
      </c>
      <c r="K19" s="5" t="s">
        <v>50</v>
      </c>
      <c r="L19" s="5" t="s">
        <v>102</v>
      </c>
    </row>
    <row r="20" spans="1:12" ht="15" customHeight="1" x14ac:dyDescent="0.25">
      <c r="A20" s="6" t="s">
        <v>103</v>
      </c>
      <c r="B20" s="6" t="s">
        <v>24</v>
      </c>
      <c r="C20" s="6" t="s">
        <v>25</v>
      </c>
      <c r="D20" s="6" t="s">
        <v>26</v>
      </c>
      <c r="E20" s="6" t="s">
        <v>27</v>
      </c>
      <c r="F20" s="6" t="s">
        <v>104</v>
      </c>
      <c r="G20" s="6" t="s">
        <v>105</v>
      </c>
      <c r="H20" s="6">
        <f t="shared" ca="1" si="0"/>
        <v>4</v>
      </c>
      <c r="I20" s="6" t="s">
        <v>37</v>
      </c>
      <c r="J20" s="6" t="s">
        <v>86</v>
      </c>
      <c r="K20" s="6" t="s">
        <v>21</v>
      </c>
      <c r="L20" s="6" t="s">
        <v>106</v>
      </c>
    </row>
    <row r="21" spans="1:12" ht="15" customHeight="1" x14ac:dyDescent="0.25">
      <c r="A21" s="5" t="s">
        <v>107</v>
      </c>
      <c r="B21" s="5" t="s">
        <v>34</v>
      </c>
      <c r="C21" s="5" t="s">
        <v>41</v>
      </c>
      <c r="D21" s="5" t="s">
        <v>35</v>
      </c>
      <c r="E21" s="5" t="s">
        <v>27</v>
      </c>
      <c r="F21" s="5" t="s">
        <v>96</v>
      </c>
      <c r="G21" s="5" t="s">
        <v>108</v>
      </c>
      <c r="H21" s="5">
        <f t="shared" ca="1" si="0"/>
        <v>4</v>
      </c>
      <c r="I21" s="5" t="s">
        <v>44</v>
      </c>
      <c r="J21" s="5" t="s">
        <v>44</v>
      </c>
      <c r="K21" s="5" t="s">
        <v>38</v>
      </c>
      <c r="L21" s="5" t="s">
        <v>109</v>
      </c>
    </row>
    <row r="22" spans="1:12" ht="15" customHeight="1" x14ac:dyDescent="0.25">
      <c r="A22" s="6" t="s">
        <v>110</v>
      </c>
      <c r="B22" s="6" t="s">
        <v>47</v>
      </c>
      <c r="C22" s="6" t="s">
        <v>15</v>
      </c>
      <c r="D22" s="6" t="s">
        <v>48</v>
      </c>
      <c r="E22" s="6" t="s">
        <v>17</v>
      </c>
      <c r="F22" s="6" t="s">
        <v>111</v>
      </c>
      <c r="G22" s="6"/>
      <c r="H22" s="6">
        <f t="shared" ca="1" si="0"/>
        <v>875</v>
      </c>
      <c r="I22" s="6" t="s">
        <v>20</v>
      </c>
      <c r="J22" s="6" t="s">
        <v>50</v>
      </c>
      <c r="K22" s="6" t="s">
        <v>49</v>
      </c>
      <c r="L22" s="6" t="s">
        <v>112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zoomScaleNormal="100" workbookViewId="0">
      <pane ySplit="2" topLeftCell="A3" activePane="bottomLeft" state="frozen"/>
      <selection pane="bottomLeft" activeCell="G3" sqref="G3"/>
    </sheetView>
  </sheetViews>
  <sheetFormatPr defaultColWidth="8.7109375" defaultRowHeight="15" x14ac:dyDescent="0.25"/>
  <cols>
    <col min="1" max="1" width="9" style="3" customWidth="1"/>
    <col min="2" max="2" width="12" style="3" customWidth="1"/>
    <col min="3" max="3" width="10" style="3" customWidth="1"/>
    <col min="4" max="4" width="12" style="3" customWidth="1"/>
    <col min="5" max="5" width="15" style="3" customWidth="1"/>
    <col min="6" max="6" width="17" style="3" customWidth="1"/>
    <col min="7" max="7" width="10" style="3" customWidth="1"/>
  </cols>
  <sheetData>
    <row r="1" spans="1:7" ht="15" customHeight="1" x14ac:dyDescent="0.25">
      <c r="A1" s="1" t="s">
        <v>113</v>
      </c>
      <c r="B1" s="1"/>
      <c r="C1" s="1"/>
      <c r="D1" s="1"/>
      <c r="E1" s="1"/>
      <c r="F1" s="1"/>
      <c r="G1" s="1"/>
    </row>
    <row r="2" spans="1:7" ht="30.75" customHeight="1" x14ac:dyDescent="0.25">
      <c r="A2" s="4" t="s">
        <v>1</v>
      </c>
      <c r="B2" s="4" t="s">
        <v>2</v>
      </c>
      <c r="C2" s="4" t="s">
        <v>4</v>
      </c>
      <c r="D2" s="4" t="s">
        <v>5</v>
      </c>
      <c r="E2" s="4" t="s">
        <v>9</v>
      </c>
      <c r="F2" s="4" t="s">
        <v>10</v>
      </c>
      <c r="G2" s="4" t="s">
        <v>114</v>
      </c>
    </row>
    <row r="3" spans="1:7" ht="15" customHeight="1" x14ac:dyDescent="0.25">
      <c r="A3" s="5" t="s">
        <v>13</v>
      </c>
      <c r="B3" s="5" t="s">
        <v>14</v>
      </c>
      <c r="C3" s="5" t="str">
        <f>INDEX(Dataset!$D:$D,MATCH(A3,Dataset!$A:$A,0))</f>
        <v>High</v>
      </c>
      <c r="D3" s="5" t="str">
        <f>INDEX(Dataset!$E:$E,MATCH(A3,Dataset!$A:$A,0))</f>
        <v>Open</v>
      </c>
      <c r="E3" s="5" t="s">
        <v>19</v>
      </c>
      <c r="F3" s="5" t="s">
        <v>20</v>
      </c>
      <c r="G3" s="7">
        <f t="shared" ref="G3:G22" si="0">IFERROR(F3/E3,0)</f>
        <v>0.8</v>
      </c>
    </row>
    <row r="4" spans="1:7" ht="15" customHeight="1" x14ac:dyDescent="0.25">
      <c r="A4" s="5" t="s">
        <v>23</v>
      </c>
      <c r="B4" s="5" t="s">
        <v>24</v>
      </c>
      <c r="C4" s="5" t="str">
        <f>INDEX(Dataset!$D:$D,MATCH(A4,Dataset!$A:$A,0))</f>
        <v>Medium</v>
      </c>
      <c r="D4" s="5" t="str">
        <f>INDEX(Dataset!$E:$E,MATCH(A4,Dataset!$A:$A,0))</f>
        <v>Closed</v>
      </c>
      <c r="E4" s="5" t="s">
        <v>30</v>
      </c>
      <c r="F4" s="5" t="s">
        <v>31</v>
      </c>
      <c r="G4" s="7">
        <f t="shared" si="0"/>
        <v>0.9</v>
      </c>
    </row>
    <row r="5" spans="1:7" ht="15" customHeight="1" x14ac:dyDescent="0.25">
      <c r="A5" s="5" t="s">
        <v>33</v>
      </c>
      <c r="B5" s="5" t="s">
        <v>34</v>
      </c>
      <c r="C5" s="5" t="str">
        <f>INDEX(Dataset!$D:$D,MATCH(A5,Dataset!$A:$A,0))</f>
        <v>Low</v>
      </c>
      <c r="D5" s="5" t="str">
        <f>INDEX(Dataset!$E:$E,MATCH(A5,Dataset!$A:$A,0))</f>
        <v>Open</v>
      </c>
      <c r="E5" s="5" t="s">
        <v>37</v>
      </c>
      <c r="F5" s="5" t="s">
        <v>37</v>
      </c>
      <c r="G5" s="7">
        <f t="shared" si="0"/>
        <v>1</v>
      </c>
    </row>
    <row r="6" spans="1:7" ht="15" customHeight="1" x14ac:dyDescent="0.25">
      <c r="A6" s="5" t="s">
        <v>40</v>
      </c>
      <c r="B6" s="5" t="s">
        <v>14</v>
      </c>
      <c r="C6" s="5" t="str">
        <f>INDEX(Dataset!$D:$D,MATCH(A6,Dataset!$A:$A,0))</f>
        <v>High</v>
      </c>
      <c r="D6" s="5" t="str">
        <f>INDEX(Dataset!$E:$E,MATCH(A6,Dataset!$A:$A,0))</f>
        <v>Closed</v>
      </c>
      <c r="E6" s="5" t="s">
        <v>44</v>
      </c>
      <c r="F6" s="5" t="s">
        <v>19</v>
      </c>
      <c r="G6" s="7">
        <f t="shared" si="0"/>
        <v>0.83333333333333337</v>
      </c>
    </row>
    <row r="7" spans="1:7" ht="15" customHeight="1" x14ac:dyDescent="0.25">
      <c r="A7" s="5" t="s">
        <v>46</v>
      </c>
      <c r="B7" s="5" t="s">
        <v>47</v>
      </c>
      <c r="C7" s="5" t="str">
        <f>INDEX(Dataset!$D:$D,MATCH(A7,Dataset!$A:$A,0))</f>
        <v>Critical</v>
      </c>
      <c r="D7" s="5" t="str">
        <f>INDEX(Dataset!$E:$E,MATCH(A7,Dataset!$A:$A,0))</f>
        <v>Open</v>
      </c>
      <c r="E7" s="5" t="s">
        <v>20</v>
      </c>
      <c r="F7" s="5" t="s">
        <v>49</v>
      </c>
      <c r="G7" s="7">
        <f t="shared" si="0"/>
        <v>0.625</v>
      </c>
    </row>
    <row r="8" spans="1:7" ht="15" customHeight="1" x14ac:dyDescent="0.25">
      <c r="A8" s="5" t="s">
        <v>52</v>
      </c>
      <c r="B8" s="5" t="s">
        <v>24</v>
      </c>
      <c r="C8" s="5" t="str">
        <f>INDEX(Dataset!$D:$D,MATCH(A8,Dataset!$A:$A,0))</f>
        <v>Medium</v>
      </c>
      <c r="D8" s="5" t="str">
        <f>INDEX(Dataset!$E:$E,MATCH(A8,Dataset!$A:$A,0))</f>
        <v>Closed</v>
      </c>
      <c r="E8" s="5" t="s">
        <v>31</v>
      </c>
      <c r="F8" s="5" t="s">
        <v>55</v>
      </c>
      <c r="G8" s="7">
        <f t="shared" si="0"/>
        <v>0.88888888888888884</v>
      </c>
    </row>
    <row r="9" spans="1:7" ht="15" customHeight="1" x14ac:dyDescent="0.25">
      <c r="A9" s="5" t="s">
        <v>57</v>
      </c>
      <c r="B9" s="5" t="s">
        <v>34</v>
      </c>
      <c r="C9" s="5" t="str">
        <f>INDEX(Dataset!$D:$D,MATCH(A9,Dataset!$A:$A,0))</f>
        <v>Low</v>
      </c>
      <c r="D9" s="5" t="str">
        <f>INDEX(Dataset!$E:$E,MATCH(A9,Dataset!$A:$A,0))</f>
        <v>Open</v>
      </c>
      <c r="E9" s="5" t="s">
        <v>59</v>
      </c>
      <c r="F9" s="5" t="s">
        <v>30</v>
      </c>
      <c r="G9" s="7">
        <f t="shared" si="0"/>
        <v>0.90909090909090906</v>
      </c>
    </row>
    <row r="10" spans="1:7" ht="15" customHeight="1" x14ac:dyDescent="0.25">
      <c r="A10" s="5" t="s">
        <v>61</v>
      </c>
      <c r="B10" s="5" t="s">
        <v>47</v>
      </c>
      <c r="C10" s="5" t="str">
        <f>INDEX(Dataset!$D:$D,MATCH(A10,Dataset!$A:$A,0))</f>
        <v>Critical</v>
      </c>
      <c r="D10" s="5" t="str">
        <f>INDEX(Dataset!$E:$E,MATCH(A10,Dataset!$A:$A,0))</f>
        <v>Closed</v>
      </c>
      <c r="E10" s="5" t="s">
        <v>64</v>
      </c>
      <c r="F10" s="5" t="s">
        <v>65</v>
      </c>
      <c r="G10" s="7">
        <f t="shared" si="0"/>
        <v>0.77777777777777779</v>
      </c>
    </row>
    <row r="11" spans="1:7" ht="15" customHeight="1" x14ac:dyDescent="0.25">
      <c r="A11" s="5" t="s">
        <v>67</v>
      </c>
      <c r="B11" s="5" t="s">
        <v>14</v>
      </c>
      <c r="C11" s="5" t="str">
        <f>INDEX(Dataset!$D:$D,MATCH(A11,Dataset!$A:$A,0))</f>
        <v>High</v>
      </c>
      <c r="D11" s="5" t="str">
        <f>INDEX(Dataset!$E:$E,MATCH(A11,Dataset!$A:$A,0))</f>
        <v>Open</v>
      </c>
      <c r="E11" s="5" t="s">
        <v>68</v>
      </c>
      <c r="F11" s="5" t="s">
        <v>64</v>
      </c>
      <c r="G11" s="7">
        <f t="shared" si="0"/>
        <v>0.81818181818181823</v>
      </c>
    </row>
    <row r="12" spans="1:7" ht="15" customHeight="1" x14ac:dyDescent="0.25">
      <c r="A12" s="5" t="s">
        <v>70</v>
      </c>
      <c r="B12" s="5" t="s">
        <v>24</v>
      </c>
      <c r="C12" s="5" t="str">
        <f>INDEX(Dataset!$D:$D,MATCH(A12,Dataset!$A:$A,0))</f>
        <v>Medium</v>
      </c>
      <c r="D12" s="5" t="str">
        <f>INDEX(Dataset!$E:$E,MATCH(A12,Dataset!$A:$A,0))</f>
        <v>Closed</v>
      </c>
      <c r="E12" s="5" t="s">
        <v>55</v>
      </c>
      <c r="F12" s="5" t="s">
        <v>73</v>
      </c>
      <c r="G12" s="7">
        <f t="shared" si="0"/>
        <v>0.875</v>
      </c>
    </row>
    <row r="13" spans="1:7" ht="15" customHeight="1" x14ac:dyDescent="0.25">
      <c r="A13" s="5" t="s">
        <v>75</v>
      </c>
      <c r="B13" s="5" t="s">
        <v>34</v>
      </c>
      <c r="C13" s="5" t="str">
        <f>INDEX(Dataset!$D:$D,MATCH(A13,Dataset!$A:$A,0))</f>
        <v>Low</v>
      </c>
      <c r="D13" s="5" t="str">
        <f>INDEX(Dataset!$E:$E,MATCH(A13,Dataset!$A:$A,0))</f>
        <v>Closed</v>
      </c>
      <c r="E13" s="5" t="s">
        <v>73</v>
      </c>
      <c r="F13" s="5" t="s">
        <v>73</v>
      </c>
      <c r="G13" s="7">
        <f t="shared" si="0"/>
        <v>1</v>
      </c>
    </row>
    <row r="14" spans="1:7" ht="15" customHeight="1" x14ac:dyDescent="0.25">
      <c r="A14" s="5" t="s">
        <v>79</v>
      </c>
      <c r="B14" s="5" t="s">
        <v>47</v>
      </c>
      <c r="C14" s="5" t="str">
        <f>INDEX(Dataset!$D:$D,MATCH(A14,Dataset!$A:$A,0))</f>
        <v>Critical</v>
      </c>
      <c r="D14" s="5" t="str">
        <f>INDEX(Dataset!$E:$E,MATCH(A14,Dataset!$A:$A,0))</f>
        <v>Open</v>
      </c>
      <c r="E14" s="5" t="s">
        <v>65</v>
      </c>
      <c r="F14" s="5" t="s">
        <v>81</v>
      </c>
      <c r="G14" s="7">
        <f t="shared" si="0"/>
        <v>0.5714285714285714</v>
      </c>
    </row>
    <row r="15" spans="1:7" ht="15" customHeight="1" x14ac:dyDescent="0.25">
      <c r="A15" s="5" t="s">
        <v>83</v>
      </c>
      <c r="B15" s="5" t="s">
        <v>14</v>
      </c>
      <c r="C15" s="5" t="str">
        <f>INDEX(Dataset!$D:$D,MATCH(A15,Dataset!$A:$A,0))</f>
        <v>High</v>
      </c>
      <c r="D15" s="5" t="str">
        <f>INDEX(Dataset!$E:$E,MATCH(A15,Dataset!$A:$A,0))</f>
        <v>Closed</v>
      </c>
      <c r="E15" s="5" t="s">
        <v>86</v>
      </c>
      <c r="F15" s="5" t="s">
        <v>68</v>
      </c>
      <c r="G15" s="7">
        <f t="shared" si="0"/>
        <v>0.84615384615384615</v>
      </c>
    </row>
    <row r="16" spans="1:7" ht="15" customHeight="1" x14ac:dyDescent="0.25">
      <c r="A16" s="5" t="s">
        <v>88</v>
      </c>
      <c r="B16" s="5" t="s">
        <v>24</v>
      </c>
      <c r="C16" s="5" t="str">
        <f>INDEX(Dataset!$D:$D,MATCH(A16,Dataset!$A:$A,0))</f>
        <v>Medium</v>
      </c>
      <c r="D16" s="5" t="str">
        <f>INDEX(Dataset!$E:$E,MATCH(A16,Dataset!$A:$A,0))</f>
        <v>Open</v>
      </c>
      <c r="E16" s="5" t="s">
        <v>89</v>
      </c>
      <c r="F16" s="5" t="s">
        <v>37</v>
      </c>
      <c r="G16" s="7">
        <f t="shared" si="0"/>
        <v>0.88235294117647056</v>
      </c>
    </row>
    <row r="17" spans="1:7" ht="15" customHeight="1" x14ac:dyDescent="0.25">
      <c r="A17" s="5" t="s">
        <v>91</v>
      </c>
      <c r="B17" s="5" t="s">
        <v>34</v>
      </c>
      <c r="C17" s="5" t="str">
        <f>INDEX(Dataset!$D:$D,MATCH(A17,Dataset!$A:$A,0))</f>
        <v>Low</v>
      </c>
      <c r="D17" s="5" t="str">
        <f>INDEX(Dataset!$E:$E,MATCH(A17,Dataset!$A:$A,0))</f>
        <v>Open</v>
      </c>
      <c r="E17" s="5" t="s">
        <v>92</v>
      </c>
      <c r="F17" s="5" t="s">
        <v>93</v>
      </c>
      <c r="G17" s="7">
        <f t="shared" si="0"/>
        <v>0.90476190476190477</v>
      </c>
    </row>
    <row r="18" spans="1:7" ht="15" customHeight="1" x14ac:dyDescent="0.25">
      <c r="A18" s="5" t="s">
        <v>95</v>
      </c>
      <c r="B18" s="5" t="s">
        <v>47</v>
      </c>
      <c r="C18" s="5" t="str">
        <f>INDEX(Dataset!$D:$D,MATCH(A18,Dataset!$A:$A,0))</f>
        <v>Critical</v>
      </c>
      <c r="D18" s="5" t="str">
        <f>INDEX(Dataset!$E:$E,MATCH(A18,Dataset!$A:$A,0))</f>
        <v>Closed</v>
      </c>
      <c r="E18" s="5" t="s">
        <v>97</v>
      </c>
      <c r="F18" s="5" t="s">
        <v>49</v>
      </c>
      <c r="G18" s="7">
        <f t="shared" si="0"/>
        <v>0.83333333333333337</v>
      </c>
    </row>
    <row r="19" spans="1:7" ht="15" customHeight="1" x14ac:dyDescent="0.25">
      <c r="A19" s="5" t="s">
        <v>100</v>
      </c>
      <c r="B19" s="5" t="s">
        <v>14</v>
      </c>
      <c r="C19" s="5" t="str">
        <f>INDEX(Dataset!$D:$D,MATCH(A19,Dataset!$A:$A,0))</f>
        <v>High</v>
      </c>
      <c r="D19" s="5" t="str">
        <f>INDEX(Dataset!$E:$E,MATCH(A19,Dataset!$A:$A,0))</f>
        <v>Open</v>
      </c>
      <c r="E19" s="5" t="s">
        <v>19</v>
      </c>
      <c r="F19" s="5" t="s">
        <v>65</v>
      </c>
      <c r="G19" s="7">
        <f t="shared" si="0"/>
        <v>0.7</v>
      </c>
    </row>
    <row r="20" spans="1:7" ht="15" customHeight="1" x14ac:dyDescent="0.25">
      <c r="A20" s="5" t="s">
        <v>103</v>
      </c>
      <c r="B20" s="5" t="s">
        <v>24</v>
      </c>
      <c r="C20" s="5" t="str">
        <f>INDEX(Dataset!$D:$D,MATCH(A20,Dataset!$A:$A,0))</f>
        <v>Medium</v>
      </c>
      <c r="D20" s="5" t="str">
        <f>INDEX(Dataset!$E:$E,MATCH(A20,Dataset!$A:$A,0))</f>
        <v>Closed</v>
      </c>
      <c r="E20" s="5" t="s">
        <v>37</v>
      </c>
      <c r="F20" s="5" t="s">
        <v>86</v>
      </c>
      <c r="G20" s="7">
        <f t="shared" si="0"/>
        <v>0.8666666666666667</v>
      </c>
    </row>
    <row r="21" spans="1:7" ht="15" customHeight="1" x14ac:dyDescent="0.25">
      <c r="A21" s="5" t="s">
        <v>107</v>
      </c>
      <c r="B21" s="5" t="s">
        <v>34</v>
      </c>
      <c r="C21" s="5" t="str">
        <f>INDEX(Dataset!$D:$D,MATCH(A21,Dataset!$A:$A,0))</f>
        <v>Low</v>
      </c>
      <c r="D21" s="5" t="str">
        <f>INDEX(Dataset!$E:$E,MATCH(A21,Dataset!$A:$A,0))</f>
        <v>Closed</v>
      </c>
      <c r="E21" s="5" t="s">
        <v>44</v>
      </c>
      <c r="F21" s="5" t="s">
        <v>44</v>
      </c>
      <c r="G21" s="7">
        <f t="shared" si="0"/>
        <v>1</v>
      </c>
    </row>
    <row r="22" spans="1:7" ht="15" customHeight="1" x14ac:dyDescent="0.25">
      <c r="A22" s="5" t="s">
        <v>110</v>
      </c>
      <c r="B22" s="5" t="s">
        <v>47</v>
      </c>
      <c r="C22" s="5" t="str">
        <f>INDEX(Dataset!$D:$D,MATCH(A22,Dataset!$A:$A,0))</f>
        <v>Critical</v>
      </c>
      <c r="D22" s="5" t="str">
        <f>INDEX(Dataset!$E:$E,MATCH(A22,Dataset!$A:$A,0))</f>
        <v>Open</v>
      </c>
      <c r="E22" s="5" t="s">
        <v>20</v>
      </c>
      <c r="F22" s="5" t="s">
        <v>50</v>
      </c>
      <c r="G22" s="7">
        <f t="shared" si="0"/>
        <v>0.375</v>
      </c>
    </row>
  </sheetData>
  <mergeCells count="1">
    <mergeCell ref="A1:G1"/>
  </mergeCells>
  <conditionalFormatting sqref="C3:C22">
    <cfRule type="cellIs" dxfId="11" priority="3" operator="equal">
      <formula>"Critical"</formula>
    </cfRule>
    <cfRule type="cellIs" dxfId="10" priority="4" operator="equal">
      <formula>"High"</formula>
    </cfRule>
    <cfRule type="cellIs" dxfId="9" priority="5" operator="equal">
      <formula>"Medium"</formula>
    </cfRule>
    <cfRule type="cellIs" dxfId="8" priority="6" operator="equal">
      <formula>"Low"</formula>
    </cfRule>
  </conditionalFormatting>
  <conditionalFormatting sqref="G3:G22">
    <cfRule type="cellIs" dxfId="7" priority="7" operator="lessThan">
      <formula>0.7</formula>
    </cfRule>
    <cfRule type="cellIs" dxfId="6" priority="8" operator="greaterThanOrEqual">
      <formula>0.9</formula>
    </cfRule>
  </conditionalFormatting>
  <conditionalFormatting sqref="C3">
    <cfRule type="colorScale" priority="1">
      <colorScale>
        <cfvo type="min"/>
        <cfvo type="max"/>
        <color rgb="FFFFEF9C"/>
        <color rgb="FF63BE7B"/>
      </colorScale>
    </cfRule>
  </conditionalFormatting>
  <dataValidations count="3">
    <dataValidation type="whole" showErrorMessage="1" errorTitle="Invalid Number" error="Enter a whole number between 0 and 100" sqref="E3:F22" xr:uid="{00000000-0002-0000-0100-000000000000}">
      <formula1>0</formula1>
      <formula2>100</formula2>
    </dataValidation>
    <dataValidation type="list" allowBlank="1" showErrorMessage="1" error="Choose a valid priority" prompt="Select priority" sqref="C3:C22" xr:uid="{00000000-0002-0000-0100-000001000000}">
      <formula1>"Critical,High,Medium,Low"</formula1>
      <formula2>0</formula2>
    </dataValidation>
    <dataValidation type="list" allowBlank="1" showErrorMessage="1" error="Choose a valid status" prompt="Select status" sqref="D3:D22" xr:uid="{00000000-0002-0000-0100-000002000000}">
      <formula1>"Open,Closed"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zoomScaleNormal="100" workbookViewId="0">
      <pane ySplit="2" topLeftCell="A3" activePane="bottomLeft" state="frozen"/>
      <selection pane="bottomLeft" activeCell="A35" sqref="A35"/>
    </sheetView>
  </sheetViews>
  <sheetFormatPr defaultColWidth="8.7109375" defaultRowHeight="15" x14ac:dyDescent="0.25"/>
  <cols>
    <col min="1" max="1" width="9" style="3" customWidth="1"/>
    <col min="2" max="2" width="12" style="3" customWidth="1"/>
    <col min="3" max="5" width="10" style="3" customWidth="1"/>
    <col min="6" max="7" width="14" style="3" customWidth="1"/>
    <col min="8" max="8" width="10" style="3" customWidth="1"/>
    <col min="9" max="9" width="14" style="3" customWidth="1"/>
    <col min="10" max="10" width="16" style="3" customWidth="1"/>
    <col min="11" max="11" width="15" style="3" customWidth="1"/>
    <col min="12" max="12" width="16" style="3" customWidth="1"/>
  </cols>
  <sheetData>
    <row r="1" spans="1:12" ht="15" customHeight="1" x14ac:dyDescent="0.25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.2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5" customHeight="1" x14ac:dyDescent="0.2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/>
      <c r="H3" s="5">
        <f t="shared" ref="H3:H22" ca="1" si="0">IF(G3&lt;&gt;"",INT(G3-F3),INT(TODAY()-F3))</f>
        <v>896</v>
      </c>
      <c r="I3" s="5" t="s">
        <v>19</v>
      </c>
      <c r="J3" s="5" t="s">
        <v>20</v>
      </c>
      <c r="K3" s="5" t="s">
        <v>21</v>
      </c>
      <c r="L3" s="5" t="s">
        <v>22</v>
      </c>
    </row>
    <row r="4" spans="1:12" ht="15" customHeight="1" x14ac:dyDescent="0.25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>
        <f t="shared" ca="1" si="0"/>
        <v>4</v>
      </c>
      <c r="I4" s="6" t="s">
        <v>30</v>
      </c>
      <c r="J4" s="6" t="s">
        <v>31</v>
      </c>
      <c r="K4" s="6" t="s">
        <v>21</v>
      </c>
      <c r="L4" s="6" t="s">
        <v>32</v>
      </c>
    </row>
    <row r="5" spans="1:12" ht="15" customHeight="1" x14ac:dyDescent="0.25">
      <c r="A5" s="5" t="s">
        <v>33</v>
      </c>
      <c r="B5" s="5" t="s">
        <v>34</v>
      </c>
      <c r="C5" s="5" t="s">
        <v>15</v>
      </c>
      <c r="D5" s="5" t="s">
        <v>35</v>
      </c>
      <c r="E5" s="5" t="s">
        <v>17</v>
      </c>
      <c r="F5" s="5" t="s">
        <v>36</v>
      </c>
      <c r="G5" s="5"/>
      <c r="H5" s="5">
        <f t="shared" ca="1" si="0"/>
        <v>894</v>
      </c>
      <c r="I5" s="5" t="s">
        <v>37</v>
      </c>
      <c r="J5" s="5" t="s">
        <v>37</v>
      </c>
      <c r="K5" s="5" t="s">
        <v>38</v>
      </c>
      <c r="L5" s="5" t="s">
        <v>39</v>
      </c>
    </row>
    <row r="6" spans="1:12" ht="15" customHeight="1" x14ac:dyDescent="0.25">
      <c r="A6" s="6" t="s">
        <v>40</v>
      </c>
      <c r="B6" s="6" t="s">
        <v>14</v>
      </c>
      <c r="C6" s="6" t="s">
        <v>41</v>
      </c>
      <c r="D6" s="6" t="s">
        <v>16</v>
      </c>
      <c r="E6" s="6" t="s">
        <v>27</v>
      </c>
      <c r="F6" s="6" t="s">
        <v>42</v>
      </c>
      <c r="G6" s="6" t="s">
        <v>43</v>
      </c>
      <c r="H6" s="6">
        <f t="shared" ca="1" si="0"/>
        <v>1</v>
      </c>
      <c r="I6" s="6" t="s">
        <v>44</v>
      </c>
      <c r="J6" s="6" t="s">
        <v>19</v>
      </c>
      <c r="K6" s="6" t="s">
        <v>21</v>
      </c>
      <c r="L6" s="6" t="s">
        <v>45</v>
      </c>
    </row>
    <row r="7" spans="1:12" ht="15" customHeight="1" x14ac:dyDescent="0.25">
      <c r="A7" s="5" t="s">
        <v>46</v>
      </c>
      <c r="B7" s="5" t="s">
        <v>47</v>
      </c>
      <c r="C7" s="5" t="s">
        <v>25</v>
      </c>
      <c r="D7" s="5" t="s">
        <v>48</v>
      </c>
      <c r="E7" s="5" t="s">
        <v>17</v>
      </c>
      <c r="F7" s="5" t="s">
        <v>29</v>
      </c>
      <c r="G7" s="5"/>
      <c r="H7" s="5">
        <f t="shared" ca="1" si="0"/>
        <v>891</v>
      </c>
      <c r="I7" s="5" t="s">
        <v>20</v>
      </c>
      <c r="J7" s="5" t="s">
        <v>49</v>
      </c>
      <c r="K7" s="5" t="s">
        <v>50</v>
      </c>
      <c r="L7" s="5" t="s">
        <v>51</v>
      </c>
    </row>
    <row r="8" spans="1:12" ht="15" customHeight="1" x14ac:dyDescent="0.25">
      <c r="A8" s="6" t="s">
        <v>52</v>
      </c>
      <c r="B8" s="6" t="s">
        <v>24</v>
      </c>
      <c r="C8" s="6" t="s">
        <v>15</v>
      </c>
      <c r="D8" s="6" t="s">
        <v>26</v>
      </c>
      <c r="E8" s="6" t="s">
        <v>27</v>
      </c>
      <c r="F8" s="6" t="s">
        <v>53</v>
      </c>
      <c r="G8" s="6" t="s">
        <v>54</v>
      </c>
      <c r="H8" s="6">
        <f t="shared" ca="1" si="0"/>
        <v>4</v>
      </c>
      <c r="I8" s="6" t="s">
        <v>31</v>
      </c>
      <c r="J8" s="6" t="s">
        <v>55</v>
      </c>
      <c r="K8" s="6" t="s">
        <v>21</v>
      </c>
      <c r="L8" s="6" t="s">
        <v>56</v>
      </c>
    </row>
    <row r="9" spans="1:12" ht="15" customHeight="1" x14ac:dyDescent="0.25">
      <c r="A9" s="5" t="s">
        <v>57</v>
      </c>
      <c r="B9" s="5" t="s">
        <v>34</v>
      </c>
      <c r="C9" s="5" t="s">
        <v>41</v>
      </c>
      <c r="D9" s="5" t="s">
        <v>35</v>
      </c>
      <c r="E9" s="5" t="s">
        <v>17</v>
      </c>
      <c r="F9" s="5" t="s">
        <v>58</v>
      </c>
      <c r="G9" s="5"/>
      <c r="H9" s="5">
        <f t="shared" ca="1" si="0"/>
        <v>889</v>
      </c>
      <c r="I9" s="5" t="s">
        <v>59</v>
      </c>
      <c r="J9" s="5" t="s">
        <v>30</v>
      </c>
      <c r="K9" s="5" t="s">
        <v>21</v>
      </c>
      <c r="L9" s="5" t="s">
        <v>60</v>
      </c>
    </row>
    <row r="10" spans="1:12" ht="15" customHeight="1" x14ac:dyDescent="0.25">
      <c r="A10" s="6" t="s">
        <v>61</v>
      </c>
      <c r="B10" s="6" t="s">
        <v>47</v>
      </c>
      <c r="C10" s="6" t="s">
        <v>15</v>
      </c>
      <c r="D10" s="6" t="s">
        <v>48</v>
      </c>
      <c r="E10" s="6" t="s">
        <v>27</v>
      </c>
      <c r="F10" s="6" t="s">
        <v>62</v>
      </c>
      <c r="G10" s="6" t="s">
        <v>63</v>
      </c>
      <c r="H10" s="6">
        <f t="shared" ca="1" si="0"/>
        <v>1</v>
      </c>
      <c r="I10" s="6" t="s">
        <v>64</v>
      </c>
      <c r="J10" s="6" t="s">
        <v>65</v>
      </c>
      <c r="K10" s="6" t="s">
        <v>21</v>
      </c>
      <c r="L10" s="6" t="s">
        <v>66</v>
      </c>
    </row>
    <row r="11" spans="1:12" ht="15" customHeight="1" x14ac:dyDescent="0.25">
      <c r="A11" s="5" t="s">
        <v>67</v>
      </c>
      <c r="B11" s="5" t="s">
        <v>14</v>
      </c>
      <c r="C11" s="5" t="s">
        <v>25</v>
      </c>
      <c r="D11" s="5" t="s">
        <v>16</v>
      </c>
      <c r="E11" s="5" t="s">
        <v>17</v>
      </c>
      <c r="F11" s="5" t="s">
        <v>54</v>
      </c>
      <c r="G11" s="5"/>
      <c r="H11" s="5">
        <f t="shared" ca="1" si="0"/>
        <v>886</v>
      </c>
      <c r="I11" s="5" t="s">
        <v>68</v>
      </c>
      <c r="J11" s="5" t="s">
        <v>64</v>
      </c>
      <c r="K11" s="5" t="s">
        <v>21</v>
      </c>
      <c r="L11" s="5" t="s">
        <v>69</v>
      </c>
    </row>
    <row r="12" spans="1:12" ht="15" customHeight="1" x14ac:dyDescent="0.25">
      <c r="A12" s="6" t="s">
        <v>70</v>
      </c>
      <c r="B12" s="6" t="s">
        <v>24</v>
      </c>
      <c r="C12" s="6" t="s">
        <v>41</v>
      </c>
      <c r="D12" s="6" t="s">
        <v>26</v>
      </c>
      <c r="E12" s="6" t="s">
        <v>27</v>
      </c>
      <c r="F12" s="6" t="s">
        <v>71</v>
      </c>
      <c r="G12" s="6" t="s">
        <v>72</v>
      </c>
      <c r="H12" s="6">
        <f t="shared" ca="1" si="0"/>
        <v>4</v>
      </c>
      <c r="I12" s="6" t="s">
        <v>55</v>
      </c>
      <c r="J12" s="6" t="s">
        <v>73</v>
      </c>
      <c r="K12" s="6" t="s">
        <v>21</v>
      </c>
      <c r="L12" s="6" t="s">
        <v>74</v>
      </c>
    </row>
    <row r="13" spans="1:12" ht="15" customHeight="1" x14ac:dyDescent="0.25">
      <c r="A13" s="5" t="s">
        <v>75</v>
      </c>
      <c r="B13" s="5" t="s">
        <v>34</v>
      </c>
      <c r="C13" s="5" t="s">
        <v>15</v>
      </c>
      <c r="D13" s="5" t="s">
        <v>35</v>
      </c>
      <c r="E13" s="5" t="s">
        <v>27</v>
      </c>
      <c r="F13" s="5" t="s">
        <v>76</v>
      </c>
      <c r="G13" s="5" t="s">
        <v>77</v>
      </c>
      <c r="H13" s="5">
        <f t="shared" ca="1" si="0"/>
        <v>5</v>
      </c>
      <c r="I13" s="5" t="s">
        <v>73</v>
      </c>
      <c r="J13" s="5" t="s">
        <v>73</v>
      </c>
      <c r="K13" s="5" t="s">
        <v>38</v>
      </c>
      <c r="L13" s="5" t="s">
        <v>78</v>
      </c>
    </row>
    <row r="14" spans="1:12" ht="15" customHeight="1" x14ac:dyDescent="0.25">
      <c r="A14" s="6" t="s">
        <v>79</v>
      </c>
      <c r="B14" s="6" t="s">
        <v>47</v>
      </c>
      <c r="C14" s="6" t="s">
        <v>25</v>
      </c>
      <c r="D14" s="6" t="s">
        <v>48</v>
      </c>
      <c r="E14" s="6" t="s">
        <v>17</v>
      </c>
      <c r="F14" s="6" t="s">
        <v>80</v>
      </c>
      <c r="G14" s="6"/>
      <c r="H14" s="6">
        <f t="shared" ca="1" si="0"/>
        <v>883</v>
      </c>
      <c r="I14" s="6" t="s">
        <v>65</v>
      </c>
      <c r="J14" s="6" t="s">
        <v>81</v>
      </c>
      <c r="K14" s="6" t="s">
        <v>50</v>
      </c>
      <c r="L14" s="6" t="s">
        <v>82</v>
      </c>
    </row>
    <row r="15" spans="1:12" ht="15" customHeight="1" x14ac:dyDescent="0.25">
      <c r="A15" s="5" t="s">
        <v>83</v>
      </c>
      <c r="B15" s="5" t="s">
        <v>14</v>
      </c>
      <c r="C15" s="5" t="s">
        <v>41</v>
      </c>
      <c r="D15" s="5" t="s">
        <v>16</v>
      </c>
      <c r="E15" s="5" t="s">
        <v>27</v>
      </c>
      <c r="F15" s="5" t="s">
        <v>84</v>
      </c>
      <c r="G15" s="5" t="s">
        <v>85</v>
      </c>
      <c r="H15" s="5">
        <f t="shared" ca="1" si="0"/>
        <v>2</v>
      </c>
      <c r="I15" s="5" t="s">
        <v>86</v>
      </c>
      <c r="J15" s="5" t="s">
        <v>68</v>
      </c>
      <c r="K15" s="5" t="s">
        <v>21</v>
      </c>
      <c r="L15" s="5" t="s">
        <v>87</v>
      </c>
    </row>
    <row r="16" spans="1:12" ht="15" customHeight="1" x14ac:dyDescent="0.25">
      <c r="A16" s="6" t="s">
        <v>88</v>
      </c>
      <c r="B16" s="6" t="s">
        <v>24</v>
      </c>
      <c r="C16" s="6" t="s">
        <v>15</v>
      </c>
      <c r="D16" s="6" t="s">
        <v>26</v>
      </c>
      <c r="E16" s="6" t="s">
        <v>17</v>
      </c>
      <c r="F16" s="6" t="s">
        <v>72</v>
      </c>
      <c r="G16" s="6"/>
      <c r="H16" s="6">
        <f t="shared" ca="1" si="0"/>
        <v>881</v>
      </c>
      <c r="I16" s="6" t="s">
        <v>89</v>
      </c>
      <c r="J16" s="6" t="s">
        <v>37</v>
      </c>
      <c r="K16" s="6" t="s">
        <v>21</v>
      </c>
      <c r="L16" s="6" t="s">
        <v>90</v>
      </c>
    </row>
    <row r="17" spans="1:12" ht="15" customHeight="1" x14ac:dyDescent="0.25">
      <c r="A17" s="5" t="s">
        <v>91</v>
      </c>
      <c r="B17" s="5" t="s">
        <v>34</v>
      </c>
      <c r="C17" s="5" t="s">
        <v>25</v>
      </c>
      <c r="D17" s="5" t="s">
        <v>35</v>
      </c>
      <c r="E17" s="5" t="s">
        <v>17</v>
      </c>
      <c r="F17" s="5" t="s">
        <v>85</v>
      </c>
      <c r="G17" s="5"/>
      <c r="H17" s="5">
        <f t="shared" ca="1" si="0"/>
        <v>880</v>
      </c>
      <c r="I17" s="5" t="s">
        <v>92</v>
      </c>
      <c r="J17" s="5" t="s">
        <v>93</v>
      </c>
      <c r="K17" s="5" t="s">
        <v>21</v>
      </c>
      <c r="L17" s="5" t="s">
        <v>94</v>
      </c>
    </row>
    <row r="18" spans="1:12" ht="15" customHeight="1" x14ac:dyDescent="0.25">
      <c r="A18" s="6" t="s">
        <v>95</v>
      </c>
      <c r="B18" s="6" t="s">
        <v>47</v>
      </c>
      <c r="C18" s="6" t="s">
        <v>41</v>
      </c>
      <c r="D18" s="6" t="s">
        <v>48</v>
      </c>
      <c r="E18" s="6" t="s">
        <v>27</v>
      </c>
      <c r="F18" s="6" t="s">
        <v>77</v>
      </c>
      <c r="G18" s="6" t="s">
        <v>96</v>
      </c>
      <c r="H18" s="6">
        <f t="shared" ca="1" si="0"/>
        <v>3</v>
      </c>
      <c r="I18" s="6" t="s">
        <v>97</v>
      </c>
      <c r="J18" s="6" t="s">
        <v>49</v>
      </c>
      <c r="K18" s="6" t="s">
        <v>98</v>
      </c>
      <c r="L18" s="6" t="s">
        <v>99</v>
      </c>
    </row>
    <row r="19" spans="1:12" ht="15" customHeight="1" x14ac:dyDescent="0.25">
      <c r="A19" s="5" t="s">
        <v>100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101</v>
      </c>
      <c r="G19" s="5"/>
      <c r="H19" s="5">
        <f t="shared" ca="1" si="0"/>
        <v>878</v>
      </c>
      <c r="I19" s="5" t="s">
        <v>19</v>
      </c>
      <c r="J19" s="5" t="s">
        <v>65</v>
      </c>
      <c r="K19" s="5" t="s">
        <v>50</v>
      </c>
      <c r="L19" s="5" t="s">
        <v>102</v>
      </c>
    </row>
    <row r="20" spans="1:12" ht="15" customHeight="1" x14ac:dyDescent="0.25">
      <c r="A20" s="6" t="s">
        <v>103</v>
      </c>
      <c r="B20" s="6" t="s">
        <v>24</v>
      </c>
      <c r="C20" s="6" t="s">
        <v>25</v>
      </c>
      <c r="D20" s="6" t="s">
        <v>26</v>
      </c>
      <c r="E20" s="6" t="s">
        <v>27</v>
      </c>
      <c r="F20" s="6" t="s">
        <v>104</v>
      </c>
      <c r="G20" s="6" t="s">
        <v>105</v>
      </c>
      <c r="H20" s="6">
        <f t="shared" ca="1" si="0"/>
        <v>4</v>
      </c>
      <c r="I20" s="6" t="s">
        <v>37</v>
      </c>
      <c r="J20" s="6" t="s">
        <v>86</v>
      </c>
      <c r="K20" s="6" t="s">
        <v>21</v>
      </c>
      <c r="L20" s="6" t="s">
        <v>106</v>
      </c>
    </row>
    <row r="21" spans="1:12" ht="15" customHeight="1" x14ac:dyDescent="0.25">
      <c r="A21" s="5" t="s">
        <v>107</v>
      </c>
      <c r="B21" s="5" t="s">
        <v>34</v>
      </c>
      <c r="C21" s="5" t="s">
        <v>41</v>
      </c>
      <c r="D21" s="5" t="s">
        <v>35</v>
      </c>
      <c r="E21" s="5" t="s">
        <v>27</v>
      </c>
      <c r="F21" s="5" t="s">
        <v>96</v>
      </c>
      <c r="G21" s="5" t="s">
        <v>108</v>
      </c>
      <c r="H21" s="5">
        <f t="shared" ca="1" si="0"/>
        <v>4</v>
      </c>
      <c r="I21" s="5" t="s">
        <v>44</v>
      </c>
      <c r="J21" s="5" t="s">
        <v>44</v>
      </c>
      <c r="K21" s="5" t="s">
        <v>38</v>
      </c>
      <c r="L21" s="5" t="s">
        <v>109</v>
      </c>
    </row>
    <row r="22" spans="1:12" ht="15" customHeight="1" x14ac:dyDescent="0.25">
      <c r="A22" s="6" t="s">
        <v>110</v>
      </c>
      <c r="B22" s="6" t="s">
        <v>47</v>
      </c>
      <c r="C22" s="6" t="s">
        <v>15</v>
      </c>
      <c r="D22" s="6" t="s">
        <v>48</v>
      </c>
      <c r="E22" s="6" t="s">
        <v>17</v>
      </c>
      <c r="F22" s="6" t="s">
        <v>111</v>
      </c>
      <c r="G22" s="6"/>
      <c r="H22" s="6">
        <f t="shared" ca="1" si="0"/>
        <v>875</v>
      </c>
      <c r="I22" s="6" t="s">
        <v>20</v>
      </c>
      <c r="J22" s="6" t="s">
        <v>50</v>
      </c>
      <c r="K22" s="6" t="s">
        <v>49</v>
      </c>
      <c r="L22" s="6" t="s">
        <v>112</v>
      </c>
    </row>
    <row r="25" spans="1:12" ht="15" customHeight="1" x14ac:dyDescent="0.25">
      <c r="A25" s="8" t="s">
        <v>116</v>
      </c>
    </row>
    <row r="26" spans="1:12" ht="15" customHeight="1" x14ac:dyDescent="0.25">
      <c r="A26" s="4" t="s">
        <v>4</v>
      </c>
      <c r="B26" s="4" t="s">
        <v>5</v>
      </c>
    </row>
    <row r="27" spans="1:12" ht="15" customHeight="1" x14ac:dyDescent="0.25">
      <c r="A27" s="9" t="s">
        <v>48</v>
      </c>
      <c r="B27" s="9" t="s">
        <v>17</v>
      </c>
    </row>
    <row r="30" spans="1:12" ht="15" customHeight="1" x14ac:dyDescent="0.25">
      <c r="A30" s="8" t="s">
        <v>117</v>
      </c>
    </row>
    <row r="31" spans="1:12" ht="23.25" customHeight="1" x14ac:dyDescent="0.25">
      <c r="A31" s="4" t="s">
        <v>118</v>
      </c>
    </row>
    <row r="32" spans="1:12" ht="15" customHeight="1" x14ac:dyDescent="0.25">
      <c r="A32" s="10" t="b">
        <f ca="1">H3&gt;10</f>
        <v>1</v>
      </c>
    </row>
    <row r="34" spans="1:12" ht="14.25" customHeight="1" x14ac:dyDescent="0.25">
      <c r="A34" s="3" t="s">
        <v>119</v>
      </c>
    </row>
    <row r="35" spans="1:12" ht="14.25" customHeight="1" x14ac:dyDescent="0.25">
      <c r="A35" s="3" t="s">
        <v>1</v>
      </c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3" t="s">
        <v>11</v>
      </c>
      <c r="L35" s="3" t="s">
        <v>12</v>
      </c>
    </row>
    <row r="36" spans="1:12" ht="14.25" customHeight="1" x14ac:dyDescent="0.25">
      <c r="A36" s="3" t="str">
        <f>INDEX(Dataset!$A:$A,MATCH("BUG005",Dataset!$A:$A,0))</f>
        <v>BUG005</v>
      </c>
      <c r="B36" s="3" t="str">
        <f>IFERROR(INDEX(Dataset!$B:$B,MATCH("BUG005",Dataset!$A:$A,0)),"")</f>
        <v>Payments</v>
      </c>
      <c r="C36" s="3" t="str">
        <f>IFERROR(INDEX(Dataset!$C:$C,MATCH("BUG005",Dataset!$A:$A,0)),"")</f>
        <v>Bob</v>
      </c>
      <c r="D36" s="3" t="str">
        <f>IFERROR(INDEX(Dataset!$D:$D,MATCH("BUG005",Dataset!$A:$A,0)),"")</f>
        <v>Critical</v>
      </c>
      <c r="E36" s="3" t="str">
        <f>IFERROR(INDEX(Dataset!$E:$E,MATCH("BUG005",Dataset!$A:$A,0)),"")</f>
        <v>Open</v>
      </c>
      <c r="F36" s="3" t="str">
        <f>IFERROR(INDEX(Dataset!$F:$F,MATCH("BUG005",Dataset!$A:$A,0)),"")</f>
        <v>2024-01-10</v>
      </c>
      <c r="G36" s="3" t="str">
        <f>IF(INDEX(Dataset!$G:$G,MATCH("BUG005",Dataset!$A:$A,0))="","",INDEX(Dataset!$G:$G,MATCH("BUG005",Dataset!$A:$A,0)))</f>
        <v/>
      </c>
      <c r="H36" s="3">
        <f ca="1">IFERROR(INDEX(Dataset!$H:$H,MATCH("BUG005",Dataset!$A:$A,0)),"")</f>
        <v>891</v>
      </c>
      <c r="I36" s="3" t="str">
        <f>IFERROR(INDEX(Dataset!$I:$I,MATCH("BUG005",Dataset!$A:$A,0)),"")</f>
        <v>8</v>
      </c>
      <c r="J36" s="3" t="str">
        <f>IFERROR(INDEX(Dataset!$J:$J,MATCH("BUG005",Dataset!$A:$A,0)),"")</f>
        <v>5</v>
      </c>
      <c r="K36" s="3" t="str">
        <f>IFERROR(INDEX(Dataset!$K:$K,MATCH("BUG005",Dataset!$A:$A,0)),"")</f>
        <v>3</v>
      </c>
      <c r="L36" s="3" t="str">
        <f>IFERROR(INDEX(Dataset!$L:$L,MATCH("BUG005",Dataset!$A:$A,0)),"")</f>
        <v>Data loss risk</v>
      </c>
    </row>
    <row r="37" spans="1:12" ht="14.25" customHeight="1" x14ac:dyDescent="0.25">
      <c r="A37" s="3" t="str">
        <f>INDEX(Dataset!$A:$A,MATCH("BUG012",Dataset!$A:$A,0))</f>
        <v>BUG012</v>
      </c>
      <c r="B37" s="3" t="str">
        <f>IFERROR(INDEX(Dataset!$B:$B,MATCH("BUG012",Dataset!$A:$A,0)),"")</f>
        <v>Payments</v>
      </c>
      <c r="C37" s="3" t="str">
        <f>IFERROR(INDEX(Dataset!$C:$C,MATCH("BUG012",Dataset!$A:$A,0)),"")</f>
        <v>Bob</v>
      </c>
      <c r="D37" s="3" t="str">
        <f>IFERROR(INDEX(Dataset!$D:$D,MATCH("BUG012",Dataset!$A:$A,0)),"")</f>
        <v>Critical</v>
      </c>
      <c r="E37" s="3" t="str">
        <f>IFERROR(INDEX(Dataset!$E:$E,MATCH("BUG012",Dataset!$A:$A,0)),"")</f>
        <v>Open</v>
      </c>
      <c r="F37" s="3" t="str">
        <f>IFERROR(INDEX(Dataset!$F:$F,MATCH("BUG012",Dataset!$A:$A,0)),"")</f>
        <v>2024-01-18</v>
      </c>
      <c r="G37" s="3" t="str">
        <f>IF(INDEX(Dataset!$G:$G,MATCH("BUG012",Dataset!$A:$A,0))="","",INDEX(Dataset!$G:$G,MATCH("BUG012",Dataset!$A:$A,0)))</f>
        <v/>
      </c>
      <c r="H37" s="3">
        <f ca="1">IFERROR(INDEX(Dataset!$H:$H,MATCH("BUG012",Dataset!$A:$A,0)),"")</f>
        <v>883</v>
      </c>
      <c r="I37" s="3" t="str">
        <f>IFERROR(INDEX(Dataset!$I:$I,MATCH("BUG012",Dataset!$A:$A,0)),"")</f>
        <v>7</v>
      </c>
      <c r="J37" s="3" t="str">
        <f>IFERROR(INDEX(Dataset!$J:$J,MATCH("BUG012",Dataset!$A:$A,0)),"")</f>
        <v>4</v>
      </c>
      <c r="K37" s="3" t="str">
        <f>IFERROR(INDEX(Dataset!$K:$K,MATCH("BUG012",Dataset!$A:$A,0)),"")</f>
        <v>3</v>
      </c>
      <c r="L37" s="3" t="str">
        <f>IFERROR(INDEX(Dataset!$L:$L,MATCH("BUG012",Dataset!$A:$A,0)),"")</f>
        <v>Payment fail</v>
      </c>
    </row>
    <row r="38" spans="1:12" ht="14.25" customHeight="1" x14ac:dyDescent="0.25">
      <c r="A38" s="3" t="str">
        <f>INDEX(Dataset!$A:$A,MATCH("BUG020",Dataset!$A:$A,0))</f>
        <v>BUG020</v>
      </c>
      <c r="B38" s="3" t="str">
        <f>IFERROR(INDEX(Dataset!$B:$B,MATCH("BUG020",Dataset!$A:$A,0)),"")</f>
        <v>Payments</v>
      </c>
      <c r="C38" s="3" t="str">
        <f>IFERROR(INDEX(Dataset!$C:$C,MATCH("BUG020",Dataset!$A:$A,0)),"")</f>
        <v>Alice</v>
      </c>
      <c r="D38" s="3" t="str">
        <f>IFERROR(INDEX(Dataset!$D:$D,MATCH("BUG020",Dataset!$A:$A,0)),"")</f>
        <v>Critical</v>
      </c>
      <c r="E38" s="3" t="str">
        <f>IFERROR(INDEX(Dataset!$E:$E,MATCH("BUG020",Dataset!$A:$A,0)),"")</f>
        <v>Open</v>
      </c>
      <c r="F38" s="3" t="str">
        <f>IFERROR(INDEX(Dataset!$F:$F,MATCH("BUG020",Dataset!$A:$A,0)),"")</f>
        <v>2024-01-26</v>
      </c>
      <c r="G38" s="3" t="str">
        <f>IF(INDEX(Dataset!$G:$G,MATCH("BUG020",Dataset!$A:$A,0))="","",INDEX(Dataset!$G:$G,MATCH("BUG020",Dataset!$A:$A,0)))</f>
        <v/>
      </c>
      <c r="H38" s="3">
        <f ca="1">IFERROR(INDEX(Dataset!$H:$H,MATCH("BUG020",Dataset!$A:$A,0)),"")</f>
        <v>875</v>
      </c>
      <c r="I38" s="3" t="str">
        <f>IFERROR(INDEX(Dataset!$I:$I,MATCH("BUG020",Dataset!$A:$A,0)),"")</f>
        <v>8</v>
      </c>
      <c r="J38" s="3" t="str">
        <f>IFERROR(INDEX(Dataset!$J:$J,MATCH("BUG020",Dataset!$A:$A,0)),"")</f>
        <v>3</v>
      </c>
      <c r="K38" s="3" t="str">
        <f>IFERROR(INDEX(Dataset!$K:$K,MATCH("BUG020",Dataset!$A:$A,0)),"")</f>
        <v>5</v>
      </c>
      <c r="L38" s="3" t="str">
        <f>IFERROR(INDEX(Dataset!$L:$L,MATCH("BUG020",Dataset!$A:$A,0)),"")</f>
        <v>Amount mismatch</v>
      </c>
    </row>
    <row r="40" spans="1:12" ht="14.25" customHeight="1" x14ac:dyDescent="0.25">
      <c r="A40" s="3" t="s">
        <v>120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zoomScaleNormal="100" workbookViewId="0">
      <pane ySplit="2" topLeftCell="A3" activePane="bottomLeft" state="frozen"/>
      <selection pane="bottomLeft" activeCell="A27" sqref="A27"/>
    </sheetView>
  </sheetViews>
  <sheetFormatPr defaultColWidth="8.7109375" defaultRowHeight="15" x14ac:dyDescent="0.25"/>
  <cols>
    <col min="1" max="1" width="9" style="3" customWidth="1"/>
    <col min="2" max="2" width="12" style="3" customWidth="1"/>
    <col min="3" max="5" width="10" style="3" customWidth="1"/>
    <col min="6" max="6" width="12" style="3" customWidth="1"/>
    <col min="7" max="7" width="19" style="3" customWidth="1"/>
    <col min="8" max="8" width="70.7109375" style="3" customWidth="1"/>
  </cols>
  <sheetData>
    <row r="1" spans="1:8" ht="15" customHeight="1" x14ac:dyDescent="0.25">
      <c r="A1" s="1" t="s">
        <v>121</v>
      </c>
      <c r="B1" s="1"/>
      <c r="C1" s="1"/>
      <c r="D1" s="1"/>
      <c r="E1" s="1"/>
      <c r="F1" s="1"/>
      <c r="G1" s="1"/>
      <c r="H1" s="1"/>
    </row>
    <row r="2" spans="1:8" ht="15" customHeight="1" x14ac:dyDescent="0.25">
      <c r="A2" s="4" t="s">
        <v>1</v>
      </c>
      <c r="B2" s="4" t="s">
        <v>2</v>
      </c>
      <c r="C2" s="4" t="s">
        <v>4</v>
      </c>
      <c r="D2" s="4" t="s">
        <v>5</v>
      </c>
      <c r="E2" s="4" t="s">
        <v>3</v>
      </c>
      <c r="F2" s="4" t="s">
        <v>8</v>
      </c>
      <c r="G2" s="4" t="s">
        <v>122</v>
      </c>
      <c r="H2" s="4" t="s">
        <v>123</v>
      </c>
    </row>
    <row r="3" spans="1:8" ht="15" customHeight="1" x14ac:dyDescent="0.25">
      <c r="A3" s="5" t="s">
        <v>46</v>
      </c>
      <c r="B3" s="5" t="s">
        <v>47</v>
      </c>
      <c r="C3" s="5" t="s">
        <v>48</v>
      </c>
      <c r="D3" s="5" t="s">
        <v>17</v>
      </c>
      <c r="E3" s="5" t="s">
        <v>25</v>
      </c>
      <c r="F3" s="5">
        <f t="shared" ref="F3:F22" ca="1" si="0">RANDBETWEEN(1,30)</f>
        <v>2</v>
      </c>
      <c r="G3" s="5">
        <f t="shared" ref="G3:G22" si="1">IF(C3="Critical",1,IF(C3="High",2,IF(C3="Medium",3,4)))</f>
        <v>1</v>
      </c>
      <c r="H3" s="11" t="s">
        <v>124</v>
      </c>
    </row>
    <row r="4" spans="1:8" ht="15" customHeight="1" x14ac:dyDescent="0.25">
      <c r="A4" s="6" t="s">
        <v>61</v>
      </c>
      <c r="B4" s="6" t="s">
        <v>47</v>
      </c>
      <c r="C4" s="6" t="s">
        <v>48</v>
      </c>
      <c r="D4" s="6" t="s">
        <v>27</v>
      </c>
      <c r="E4" s="6" t="s">
        <v>15</v>
      </c>
      <c r="F4" s="6">
        <f t="shared" ca="1" si="0"/>
        <v>10</v>
      </c>
      <c r="G4" s="6">
        <f t="shared" si="1"/>
        <v>1</v>
      </c>
      <c r="H4" s="6"/>
    </row>
    <row r="5" spans="1:8" ht="15" customHeight="1" x14ac:dyDescent="0.25">
      <c r="A5" s="5" t="s">
        <v>79</v>
      </c>
      <c r="B5" s="5" t="s">
        <v>47</v>
      </c>
      <c r="C5" s="5" t="s">
        <v>48</v>
      </c>
      <c r="D5" s="5" t="s">
        <v>17</v>
      </c>
      <c r="E5" s="5" t="s">
        <v>25</v>
      </c>
      <c r="F5" s="5">
        <f t="shared" ca="1" si="0"/>
        <v>29</v>
      </c>
      <c r="G5" s="5">
        <f t="shared" si="1"/>
        <v>1</v>
      </c>
      <c r="H5" s="5"/>
    </row>
    <row r="6" spans="1:8" ht="15" customHeight="1" x14ac:dyDescent="0.25">
      <c r="A6" s="6" t="s">
        <v>95</v>
      </c>
      <c r="B6" s="6" t="s">
        <v>47</v>
      </c>
      <c r="C6" s="6" t="s">
        <v>48</v>
      </c>
      <c r="D6" s="6" t="s">
        <v>27</v>
      </c>
      <c r="E6" s="6" t="s">
        <v>41</v>
      </c>
      <c r="F6" s="6">
        <f t="shared" ca="1" si="0"/>
        <v>28</v>
      </c>
      <c r="G6" s="6">
        <f t="shared" si="1"/>
        <v>1</v>
      </c>
      <c r="H6" s="6"/>
    </row>
    <row r="7" spans="1:8" ht="15" customHeight="1" x14ac:dyDescent="0.25">
      <c r="A7" s="5" t="s">
        <v>110</v>
      </c>
      <c r="B7" s="5" t="s">
        <v>47</v>
      </c>
      <c r="C7" s="5" t="s">
        <v>48</v>
      </c>
      <c r="D7" s="5" t="s">
        <v>17</v>
      </c>
      <c r="E7" s="5" t="s">
        <v>15</v>
      </c>
      <c r="F7" s="5">
        <f t="shared" ca="1" si="0"/>
        <v>30</v>
      </c>
      <c r="G7" s="5">
        <f t="shared" si="1"/>
        <v>1</v>
      </c>
      <c r="H7" s="5"/>
    </row>
    <row r="8" spans="1:8" ht="15" customHeight="1" x14ac:dyDescent="0.25">
      <c r="A8" s="6" t="s">
        <v>13</v>
      </c>
      <c r="B8" s="6" t="s">
        <v>14</v>
      </c>
      <c r="C8" s="6" t="s">
        <v>16</v>
      </c>
      <c r="D8" s="6" t="s">
        <v>17</v>
      </c>
      <c r="E8" s="6" t="s">
        <v>15</v>
      </c>
      <c r="F8" s="6">
        <f t="shared" ca="1" si="0"/>
        <v>24</v>
      </c>
      <c r="G8" s="6">
        <f t="shared" si="1"/>
        <v>2</v>
      </c>
      <c r="H8" s="6"/>
    </row>
    <row r="9" spans="1:8" ht="15" customHeight="1" x14ac:dyDescent="0.25">
      <c r="A9" s="5" t="s">
        <v>40</v>
      </c>
      <c r="B9" s="5" t="s">
        <v>14</v>
      </c>
      <c r="C9" s="5" t="s">
        <v>16</v>
      </c>
      <c r="D9" s="5" t="s">
        <v>27</v>
      </c>
      <c r="E9" s="5" t="s">
        <v>41</v>
      </c>
      <c r="F9" s="5">
        <f t="shared" ca="1" si="0"/>
        <v>23</v>
      </c>
      <c r="G9" s="5">
        <f t="shared" si="1"/>
        <v>2</v>
      </c>
      <c r="H9" s="5"/>
    </row>
    <row r="10" spans="1:8" ht="15" customHeight="1" x14ac:dyDescent="0.25">
      <c r="A10" s="6" t="s">
        <v>67</v>
      </c>
      <c r="B10" s="6" t="s">
        <v>14</v>
      </c>
      <c r="C10" s="6" t="s">
        <v>16</v>
      </c>
      <c r="D10" s="6" t="s">
        <v>17</v>
      </c>
      <c r="E10" s="6" t="s">
        <v>25</v>
      </c>
      <c r="F10" s="6">
        <f t="shared" ca="1" si="0"/>
        <v>11</v>
      </c>
      <c r="G10" s="6">
        <f t="shared" si="1"/>
        <v>2</v>
      </c>
      <c r="H10" s="6"/>
    </row>
    <row r="11" spans="1:8" ht="15" customHeight="1" x14ac:dyDescent="0.25">
      <c r="A11" s="5" t="s">
        <v>83</v>
      </c>
      <c r="B11" s="5" t="s">
        <v>14</v>
      </c>
      <c r="C11" s="5" t="s">
        <v>16</v>
      </c>
      <c r="D11" s="5" t="s">
        <v>27</v>
      </c>
      <c r="E11" s="5" t="s">
        <v>41</v>
      </c>
      <c r="F11" s="5">
        <f t="shared" ca="1" si="0"/>
        <v>15</v>
      </c>
      <c r="G11" s="5">
        <f t="shared" si="1"/>
        <v>2</v>
      </c>
      <c r="H11" s="5"/>
    </row>
    <row r="12" spans="1:8" ht="15" customHeight="1" x14ac:dyDescent="0.25">
      <c r="A12" s="6" t="s">
        <v>100</v>
      </c>
      <c r="B12" s="6" t="s">
        <v>14</v>
      </c>
      <c r="C12" s="6" t="s">
        <v>16</v>
      </c>
      <c r="D12" s="6" t="s">
        <v>17</v>
      </c>
      <c r="E12" s="6" t="s">
        <v>15</v>
      </c>
      <c r="F12" s="6">
        <f t="shared" ca="1" si="0"/>
        <v>28</v>
      </c>
      <c r="G12" s="6">
        <f t="shared" si="1"/>
        <v>2</v>
      </c>
      <c r="H12" s="6"/>
    </row>
    <row r="13" spans="1:8" ht="15" customHeight="1" x14ac:dyDescent="0.25">
      <c r="A13" s="5" t="s">
        <v>23</v>
      </c>
      <c r="B13" s="5" t="s">
        <v>24</v>
      </c>
      <c r="C13" s="5" t="s">
        <v>26</v>
      </c>
      <c r="D13" s="5" t="s">
        <v>27</v>
      </c>
      <c r="E13" s="5" t="s">
        <v>25</v>
      </c>
      <c r="F13" s="5">
        <f t="shared" ca="1" si="0"/>
        <v>23</v>
      </c>
      <c r="G13" s="5">
        <f t="shared" si="1"/>
        <v>3</v>
      </c>
      <c r="H13" s="5"/>
    </row>
    <row r="14" spans="1:8" ht="15" customHeight="1" x14ac:dyDescent="0.25">
      <c r="A14" s="6" t="s">
        <v>52</v>
      </c>
      <c r="B14" s="6" t="s">
        <v>24</v>
      </c>
      <c r="C14" s="6" t="s">
        <v>26</v>
      </c>
      <c r="D14" s="6" t="s">
        <v>27</v>
      </c>
      <c r="E14" s="6" t="s">
        <v>15</v>
      </c>
      <c r="F14" s="6">
        <f t="shared" ca="1" si="0"/>
        <v>8</v>
      </c>
      <c r="G14" s="6">
        <f t="shared" si="1"/>
        <v>3</v>
      </c>
      <c r="H14" s="6"/>
    </row>
    <row r="15" spans="1:8" ht="15" customHeight="1" x14ac:dyDescent="0.25">
      <c r="A15" s="5" t="s">
        <v>70</v>
      </c>
      <c r="B15" s="5" t="s">
        <v>24</v>
      </c>
      <c r="C15" s="5" t="s">
        <v>26</v>
      </c>
      <c r="D15" s="5" t="s">
        <v>27</v>
      </c>
      <c r="E15" s="5" t="s">
        <v>41</v>
      </c>
      <c r="F15" s="5">
        <f t="shared" ca="1" si="0"/>
        <v>22</v>
      </c>
      <c r="G15" s="5">
        <f t="shared" si="1"/>
        <v>3</v>
      </c>
      <c r="H15" s="5"/>
    </row>
    <row r="16" spans="1:8" ht="15" customHeight="1" x14ac:dyDescent="0.25">
      <c r="A16" s="6" t="s">
        <v>88</v>
      </c>
      <c r="B16" s="6" t="s">
        <v>24</v>
      </c>
      <c r="C16" s="6" t="s">
        <v>26</v>
      </c>
      <c r="D16" s="6" t="s">
        <v>17</v>
      </c>
      <c r="E16" s="6" t="s">
        <v>15</v>
      </c>
      <c r="F16" s="6">
        <f t="shared" ca="1" si="0"/>
        <v>27</v>
      </c>
      <c r="G16" s="6">
        <f t="shared" si="1"/>
        <v>3</v>
      </c>
      <c r="H16" s="6"/>
    </row>
    <row r="17" spans="1:8" ht="15" customHeight="1" x14ac:dyDescent="0.25">
      <c r="A17" s="5" t="s">
        <v>103</v>
      </c>
      <c r="B17" s="5" t="s">
        <v>24</v>
      </c>
      <c r="C17" s="5" t="s">
        <v>26</v>
      </c>
      <c r="D17" s="5" t="s">
        <v>27</v>
      </c>
      <c r="E17" s="5" t="s">
        <v>25</v>
      </c>
      <c r="F17" s="5">
        <f t="shared" ca="1" si="0"/>
        <v>30</v>
      </c>
      <c r="G17" s="5">
        <f t="shared" si="1"/>
        <v>3</v>
      </c>
      <c r="H17" s="5"/>
    </row>
    <row r="18" spans="1:8" ht="15" customHeight="1" x14ac:dyDescent="0.25">
      <c r="A18" s="6" t="s">
        <v>33</v>
      </c>
      <c r="B18" s="6" t="s">
        <v>34</v>
      </c>
      <c r="C18" s="6" t="s">
        <v>35</v>
      </c>
      <c r="D18" s="6" t="s">
        <v>17</v>
      </c>
      <c r="E18" s="6" t="s">
        <v>15</v>
      </c>
      <c r="F18" s="6">
        <f t="shared" ca="1" si="0"/>
        <v>5</v>
      </c>
      <c r="G18" s="6">
        <f t="shared" si="1"/>
        <v>4</v>
      </c>
      <c r="H18" s="6"/>
    </row>
    <row r="19" spans="1:8" ht="15" customHeight="1" x14ac:dyDescent="0.25">
      <c r="A19" s="5" t="s">
        <v>57</v>
      </c>
      <c r="B19" s="5" t="s">
        <v>34</v>
      </c>
      <c r="C19" s="5" t="s">
        <v>35</v>
      </c>
      <c r="D19" s="5" t="s">
        <v>17</v>
      </c>
      <c r="E19" s="5" t="s">
        <v>41</v>
      </c>
      <c r="F19" s="5">
        <f t="shared" ca="1" si="0"/>
        <v>10</v>
      </c>
      <c r="G19" s="5">
        <f t="shared" si="1"/>
        <v>4</v>
      </c>
      <c r="H19" s="5"/>
    </row>
    <row r="20" spans="1:8" ht="15" customHeight="1" x14ac:dyDescent="0.25">
      <c r="A20" s="6" t="s">
        <v>75</v>
      </c>
      <c r="B20" s="6" t="s">
        <v>34</v>
      </c>
      <c r="C20" s="6" t="s">
        <v>35</v>
      </c>
      <c r="D20" s="6" t="s">
        <v>27</v>
      </c>
      <c r="E20" s="6" t="s">
        <v>15</v>
      </c>
      <c r="F20" s="6">
        <f t="shared" ca="1" si="0"/>
        <v>6</v>
      </c>
      <c r="G20" s="6">
        <f t="shared" si="1"/>
        <v>4</v>
      </c>
      <c r="H20" s="6"/>
    </row>
    <row r="21" spans="1:8" ht="15" customHeight="1" x14ac:dyDescent="0.25">
      <c r="A21" s="5" t="s">
        <v>91</v>
      </c>
      <c r="B21" s="5" t="s">
        <v>34</v>
      </c>
      <c r="C21" s="5" t="s">
        <v>35</v>
      </c>
      <c r="D21" s="5" t="s">
        <v>17</v>
      </c>
      <c r="E21" s="5" t="s">
        <v>25</v>
      </c>
      <c r="F21" s="5">
        <f t="shared" ca="1" si="0"/>
        <v>17</v>
      </c>
      <c r="G21" s="5">
        <f t="shared" si="1"/>
        <v>4</v>
      </c>
      <c r="H21" s="5"/>
    </row>
    <row r="22" spans="1:8" ht="15" customHeight="1" x14ac:dyDescent="0.25">
      <c r="A22" s="6" t="s">
        <v>107</v>
      </c>
      <c r="B22" s="6" t="s">
        <v>34</v>
      </c>
      <c r="C22" s="6" t="s">
        <v>35</v>
      </c>
      <c r="D22" s="6" t="s">
        <v>27</v>
      </c>
      <c r="E22" s="6" t="s">
        <v>41</v>
      </c>
      <c r="F22" s="6">
        <f t="shared" ca="1" si="0"/>
        <v>9</v>
      </c>
      <c r="G22" s="6">
        <f t="shared" si="1"/>
        <v>4</v>
      </c>
      <c r="H22" s="6"/>
    </row>
    <row r="26" spans="1:8" ht="15" customHeight="1" x14ac:dyDescent="0.25">
      <c r="A26" s="12" t="s">
        <v>125</v>
      </c>
    </row>
    <row r="27" spans="1:8" ht="15" customHeight="1" x14ac:dyDescent="0.25">
      <c r="A27" s="9" t="s">
        <v>126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tabSelected="1" zoomScaleNormal="100" workbookViewId="0">
      <pane ySplit="3" topLeftCell="A4" activePane="bottomLeft" state="frozen"/>
      <selection pane="bottomLeft" activeCell="B12" sqref="B12"/>
    </sheetView>
  </sheetViews>
  <sheetFormatPr defaultColWidth="8.7109375" defaultRowHeight="15" x14ac:dyDescent="0.25"/>
  <cols>
    <col min="1" max="1" width="22" style="3" customWidth="1"/>
    <col min="2" max="2" width="45" style="3" customWidth="1"/>
    <col min="3" max="3" width="18" style="3" customWidth="1"/>
    <col min="4" max="4" width="35" style="3" customWidth="1"/>
  </cols>
  <sheetData>
    <row r="1" spans="1:5" ht="15" customHeight="1" x14ac:dyDescent="0.25">
      <c r="A1" s="1" t="s">
        <v>127</v>
      </c>
      <c r="B1" s="1"/>
      <c r="C1" s="1"/>
      <c r="D1" s="1"/>
      <c r="E1" s="1"/>
    </row>
    <row r="3" spans="1:5" ht="24" customHeight="1" x14ac:dyDescent="0.25">
      <c r="A3" s="13" t="s">
        <v>128</v>
      </c>
      <c r="B3" s="13" t="s">
        <v>129</v>
      </c>
      <c r="C3" s="13" t="s">
        <v>130</v>
      </c>
      <c r="D3" s="13" t="s">
        <v>131</v>
      </c>
    </row>
    <row r="4" spans="1:5" ht="15" customHeight="1" x14ac:dyDescent="0.25">
      <c r="A4" s="14" t="s">
        <v>132</v>
      </c>
      <c r="B4" s="14" t="str">
        <f>HYPERLINK("#'Hyper Data Linking'!A16","Jump to anchor below")</f>
        <v>Jump to anchor below</v>
      </c>
      <c r="C4" s="14" t="s">
        <v>133</v>
      </c>
      <c r="D4" s="14" t="s">
        <v>134</v>
      </c>
    </row>
    <row r="5" spans="1:5" ht="15" customHeight="1" x14ac:dyDescent="0.25">
      <c r="A5" s="14" t="s">
        <v>135</v>
      </c>
      <c r="B5" s="14" t="str">
        <f>HYPERLINK("https://www.google.com","Open Google")</f>
        <v>Open Google</v>
      </c>
      <c r="C5" s="14" t="s">
        <v>136</v>
      </c>
      <c r="D5" s="14" t="s">
        <v>137</v>
      </c>
    </row>
    <row r="6" spans="1:5" ht="14.25" customHeight="1" x14ac:dyDescent="0.25">
      <c r="A6" s="3" t="s">
        <v>138</v>
      </c>
      <c r="B6" s="3" t="str">
        <f>HYPERLINK("#Dataset!A1","Go to Dataset sheet")</f>
        <v>Go to Dataset sheet</v>
      </c>
      <c r="C6" s="3" t="s">
        <v>133</v>
      </c>
      <c r="D6" s="3" t="s">
        <v>139</v>
      </c>
    </row>
    <row r="7" spans="1:5" ht="14.25" customHeight="1" x14ac:dyDescent="0.25">
      <c r="A7" s="3" t="s">
        <v>140</v>
      </c>
      <c r="B7" s="3" t="str">
        <f>Dataset!B3&amp;" - "&amp;Dataset!C3</f>
        <v>Login - Alice</v>
      </c>
      <c r="C7" s="3" t="s">
        <v>141</v>
      </c>
      <c r="D7" s="3" t="s">
        <v>142</v>
      </c>
    </row>
    <row r="8" spans="1:5" ht="14.25" customHeight="1" x14ac:dyDescent="0.25">
      <c r="A8" s="3" t="s">
        <v>143</v>
      </c>
      <c r="B8" s="3" t="str">
        <f>HYPERLINK("mailto:qa-lead@example.com?subject=Bug%20Tracker%20Query","Email QA Lead")</f>
        <v>Email QA Lead</v>
      </c>
      <c r="C8" s="3" t="s">
        <v>144</v>
      </c>
      <c r="D8" s="3" t="s">
        <v>145</v>
      </c>
    </row>
    <row r="16" spans="1:5" ht="15" customHeight="1" x14ac:dyDescent="0.25">
      <c r="A16" s="15" t="s">
        <v>146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zoomScaleNormal="100" workbookViewId="0">
      <pane ySplit="2" topLeftCell="A3" activePane="bottomLeft" state="frozen"/>
      <selection pane="bottomLeft" activeCell="D11" sqref="D11"/>
    </sheetView>
  </sheetViews>
  <sheetFormatPr defaultColWidth="8.7109375" defaultRowHeight="15" x14ac:dyDescent="0.25"/>
  <cols>
    <col min="1" max="1" width="18" style="3" customWidth="1"/>
    <col min="2" max="2" width="58" style="3" customWidth="1"/>
    <col min="3" max="3" width="12" style="3" customWidth="1"/>
    <col min="4" max="4" width="45" style="3" customWidth="1"/>
    <col min="5" max="5" width="12" style="3" customWidth="1"/>
  </cols>
  <sheetData>
    <row r="1" spans="1:5" ht="15" customHeight="1" x14ac:dyDescent="0.25">
      <c r="A1" s="1" t="s">
        <v>147</v>
      </c>
      <c r="B1" s="1"/>
      <c r="C1" s="1"/>
      <c r="D1" s="1"/>
      <c r="E1" s="1"/>
    </row>
    <row r="2" spans="1:5" ht="23.25" customHeight="1" x14ac:dyDescent="0.25">
      <c r="A2" s="4" t="s">
        <v>148</v>
      </c>
      <c r="B2" s="4" t="s">
        <v>149</v>
      </c>
      <c r="C2" s="4" t="s">
        <v>150</v>
      </c>
      <c r="D2" s="4" t="s">
        <v>151</v>
      </c>
      <c r="E2" s="4" t="s">
        <v>152</v>
      </c>
    </row>
    <row r="3" spans="1:5" ht="15" customHeight="1" x14ac:dyDescent="0.25">
      <c r="A3" s="16" t="s">
        <v>153</v>
      </c>
      <c r="B3" s="16">
        <f>IFERROR(SUMPRODUCT(--Dataset!J3:J22)/SUMPRODUCT(--Dataset!I3:I22),0)</f>
        <v>0.85227272727272729</v>
      </c>
      <c r="C3" s="17">
        <f t="shared" ref="C3:C11" si="0">B3</f>
        <v>0.85227272727272729</v>
      </c>
      <c r="D3" s="16" t="s">
        <v>154</v>
      </c>
      <c r="E3" s="16"/>
    </row>
    <row r="4" spans="1:5" ht="15" customHeight="1" x14ac:dyDescent="0.25">
      <c r="A4" s="14" t="s">
        <v>155</v>
      </c>
      <c r="B4" s="14">
        <f>SUMPRODUCT(--Dataset!I3:I22)</f>
        <v>264</v>
      </c>
      <c r="C4" s="14">
        <f t="shared" si="0"/>
        <v>264</v>
      </c>
      <c r="D4" s="14" t="s">
        <v>156</v>
      </c>
      <c r="E4" s="14"/>
    </row>
    <row r="5" spans="1:5" ht="15" customHeight="1" x14ac:dyDescent="0.25">
      <c r="A5" s="16" t="s">
        <v>157</v>
      </c>
      <c r="B5" s="16">
        <f>FLOOR(87.6,5)</f>
        <v>85</v>
      </c>
      <c r="C5" s="16">
        <f t="shared" si="0"/>
        <v>85</v>
      </c>
      <c r="D5" s="16" t="s">
        <v>158</v>
      </c>
      <c r="E5" s="16" t="s">
        <v>159</v>
      </c>
    </row>
    <row r="6" spans="1:5" ht="15" customHeight="1" x14ac:dyDescent="0.25">
      <c r="A6" s="14" t="s">
        <v>160</v>
      </c>
      <c r="B6" s="14">
        <f>CEILING(87.6,5)</f>
        <v>90</v>
      </c>
      <c r="C6" s="14">
        <f t="shared" si="0"/>
        <v>90</v>
      </c>
      <c r="D6" s="14" t="s">
        <v>161</v>
      </c>
      <c r="E6" s="14" t="s">
        <v>159</v>
      </c>
    </row>
    <row r="7" spans="1:5" ht="15" customHeight="1" x14ac:dyDescent="0.25">
      <c r="A7" s="16" t="s">
        <v>162</v>
      </c>
      <c r="B7" s="16">
        <f>MROUND(87.6,5)</f>
        <v>90</v>
      </c>
      <c r="C7" s="16">
        <f t="shared" si="0"/>
        <v>90</v>
      </c>
      <c r="D7" s="16" t="s">
        <v>163</v>
      </c>
      <c r="E7" s="16" t="s">
        <v>159</v>
      </c>
    </row>
    <row r="8" spans="1:5" ht="15" customHeight="1" x14ac:dyDescent="0.25">
      <c r="A8" s="14" t="s">
        <v>164</v>
      </c>
      <c r="B8" s="14">
        <f>MOD(22,5)</f>
        <v>2</v>
      </c>
      <c r="C8" s="14">
        <f t="shared" si="0"/>
        <v>2</v>
      </c>
      <c r="D8" s="14" t="s">
        <v>165</v>
      </c>
      <c r="E8" s="14" t="s">
        <v>59</v>
      </c>
    </row>
    <row r="9" spans="1:5" ht="15" customHeight="1" x14ac:dyDescent="0.25">
      <c r="A9" s="16" t="s">
        <v>166</v>
      </c>
      <c r="B9" s="16">
        <f>QUOTIENT(22,5)</f>
        <v>4</v>
      </c>
      <c r="C9" s="16">
        <f t="shared" si="0"/>
        <v>4</v>
      </c>
      <c r="D9" s="16" t="s">
        <v>167</v>
      </c>
      <c r="E9" s="16" t="s">
        <v>59</v>
      </c>
    </row>
    <row r="10" spans="1:5" ht="15" customHeight="1" x14ac:dyDescent="0.25">
      <c r="A10" s="14" t="s">
        <v>168</v>
      </c>
      <c r="B10" s="14">
        <f>MOD(ROW()-2,2)</f>
        <v>0</v>
      </c>
      <c r="C10" s="14">
        <f t="shared" si="0"/>
        <v>0</v>
      </c>
      <c r="D10" s="14" t="s">
        <v>169</v>
      </c>
      <c r="E10" s="14"/>
    </row>
    <row r="11" spans="1:5" ht="23.25" customHeight="1" x14ac:dyDescent="0.25">
      <c r="A11" s="16" t="s">
        <v>170</v>
      </c>
      <c r="B11" s="16">
        <f>SUMPRODUCT((Dataset!D3:D22="Critical")*1,--Dataset!K3:K22)</f>
        <v>14</v>
      </c>
      <c r="C11" s="16">
        <f t="shared" si="0"/>
        <v>14</v>
      </c>
      <c r="D11" s="16" t="s">
        <v>171</v>
      </c>
      <c r="E11" s="16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6"/>
  <sheetViews>
    <sheetView zoomScaleNormal="100" workbookViewId="0">
      <pane ySplit="2" topLeftCell="A3" activePane="bottomLeft" state="frozen"/>
      <selection pane="bottomLeft" activeCell="A23" sqref="A23"/>
    </sheetView>
  </sheetViews>
  <sheetFormatPr defaultColWidth="8.7109375" defaultRowHeight="15" x14ac:dyDescent="0.25"/>
  <cols>
    <col min="1" max="1" width="30" style="3" customWidth="1"/>
    <col min="2" max="3" width="22" style="3" customWidth="1"/>
    <col min="4" max="4" width="20" style="3" customWidth="1"/>
  </cols>
  <sheetData>
    <row r="1" spans="1:4" ht="15" customHeight="1" x14ac:dyDescent="0.25">
      <c r="A1" s="1" t="s">
        <v>172</v>
      </c>
      <c r="B1" s="1"/>
      <c r="C1" s="1"/>
      <c r="D1" s="1"/>
    </row>
    <row r="3" spans="1:4" ht="15" customHeight="1" x14ac:dyDescent="0.25">
      <c r="A3" s="15" t="s">
        <v>173</v>
      </c>
    </row>
    <row r="4" spans="1:4" ht="15" customHeight="1" x14ac:dyDescent="0.25">
      <c r="A4" s="4" t="s">
        <v>174</v>
      </c>
      <c r="B4" s="4" t="s">
        <v>175</v>
      </c>
      <c r="C4" s="4" t="s">
        <v>176</v>
      </c>
      <c r="D4" s="4" t="s">
        <v>177</v>
      </c>
    </row>
    <row r="5" spans="1:4" ht="15" customHeight="1" x14ac:dyDescent="0.25">
      <c r="A5" s="18" t="s">
        <v>178</v>
      </c>
      <c r="B5" s="19" t="s">
        <v>179</v>
      </c>
      <c r="C5" s="19" t="s">
        <v>180</v>
      </c>
      <c r="D5" s="19" t="s">
        <v>181</v>
      </c>
    </row>
    <row r="6" spans="1:4" ht="15" customHeight="1" x14ac:dyDescent="0.25">
      <c r="A6" s="20" t="s">
        <v>182</v>
      </c>
      <c r="B6" s="21" t="s">
        <v>183</v>
      </c>
      <c r="C6" s="21" t="s">
        <v>184</v>
      </c>
      <c r="D6" s="21" t="s">
        <v>185</v>
      </c>
    </row>
    <row r="7" spans="1:4" ht="15" customHeight="1" x14ac:dyDescent="0.25">
      <c r="A7" s="18" t="s">
        <v>186</v>
      </c>
      <c r="B7" s="19" t="s">
        <v>187</v>
      </c>
      <c r="C7" s="19" t="s">
        <v>188</v>
      </c>
      <c r="D7" s="19" t="s">
        <v>189</v>
      </c>
    </row>
    <row r="8" spans="1:4" ht="15" customHeight="1" x14ac:dyDescent="0.25">
      <c r="A8" s="21" t="s">
        <v>190</v>
      </c>
      <c r="B8" s="21" t="s">
        <v>191</v>
      </c>
      <c r="C8" s="21" t="s">
        <v>192</v>
      </c>
      <c r="D8" s="21" t="s">
        <v>193</v>
      </c>
    </row>
    <row r="9" spans="1:4" ht="15" customHeight="1" x14ac:dyDescent="0.25">
      <c r="A9" s="18" t="s">
        <v>194</v>
      </c>
      <c r="B9" s="19" t="s">
        <v>195</v>
      </c>
      <c r="C9" s="19" t="s">
        <v>196</v>
      </c>
      <c r="D9" s="19" t="s">
        <v>197</v>
      </c>
    </row>
    <row r="10" spans="1:4" ht="15" customHeight="1" x14ac:dyDescent="0.25">
      <c r="A10" s="20" t="s">
        <v>198</v>
      </c>
      <c r="B10" s="21" t="s">
        <v>199</v>
      </c>
      <c r="C10" s="21" t="s">
        <v>200</v>
      </c>
      <c r="D10" s="21" t="s">
        <v>201</v>
      </c>
    </row>
    <row r="11" spans="1:4" ht="15" customHeight="1" x14ac:dyDescent="0.25">
      <c r="A11" s="18" t="s">
        <v>202</v>
      </c>
      <c r="B11" s="19" t="s">
        <v>203</v>
      </c>
      <c r="C11" s="19" t="s">
        <v>204</v>
      </c>
      <c r="D11" s="19" t="s">
        <v>205</v>
      </c>
    </row>
    <row r="14" spans="1:4" ht="15" customHeight="1" x14ac:dyDescent="0.25">
      <c r="A14" s="12" t="s">
        <v>206</v>
      </c>
    </row>
    <row r="15" spans="1:4" ht="15" customHeight="1" x14ac:dyDescent="0.25">
      <c r="A15" s="4" t="s">
        <v>1</v>
      </c>
      <c r="B15" s="4" t="s">
        <v>2</v>
      </c>
      <c r="C15" s="4" t="s">
        <v>4</v>
      </c>
      <c r="D15" s="4" t="s">
        <v>207</v>
      </c>
    </row>
    <row r="16" spans="1:4" ht="15" customHeight="1" x14ac:dyDescent="0.25">
      <c r="A16" s="19" t="s">
        <v>13</v>
      </c>
      <c r="B16" s="19" t="s">
        <v>14</v>
      </c>
      <c r="C16" s="19" t="s">
        <v>16</v>
      </c>
      <c r="D16" s="19" t="str">
        <f>A16&amp;" | "&amp;B16&amp;" | "&amp;C16</f>
        <v>BUG001 | Login | High</v>
      </c>
    </row>
    <row r="17" spans="1:4" ht="15" customHeight="1" x14ac:dyDescent="0.25">
      <c r="A17" s="19" t="s">
        <v>23</v>
      </c>
      <c r="B17" s="19" t="s">
        <v>24</v>
      </c>
      <c r="C17" s="19" t="s">
        <v>26</v>
      </c>
      <c r="D17" s="19" t="str">
        <f>A17&amp;" | "&amp;B17&amp;" | "&amp;C17</f>
        <v>BUG002 | Dashboard | Medium</v>
      </c>
    </row>
    <row r="18" spans="1:4" ht="15" customHeight="1" x14ac:dyDescent="0.25">
      <c r="A18" s="19" t="s">
        <v>33</v>
      </c>
      <c r="B18" s="19" t="s">
        <v>34</v>
      </c>
      <c r="C18" s="19" t="s">
        <v>35</v>
      </c>
      <c r="D18" s="19" t="str">
        <f>A18&amp;" | "&amp;B18&amp;" | "&amp;C18</f>
        <v>BUG003 | Reports | Low</v>
      </c>
    </row>
    <row r="19" spans="1:4" ht="15" customHeight="1" x14ac:dyDescent="0.25">
      <c r="A19" s="19" t="s">
        <v>40</v>
      </c>
      <c r="B19" s="19" t="s">
        <v>14</v>
      </c>
      <c r="C19" s="19" t="s">
        <v>16</v>
      </c>
      <c r="D19" s="19" t="str">
        <f>A19&amp;" | "&amp;B19&amp;" | "&amp;C19</f>
        <v>BUG004 | Login | High</v>
      </c>
    </row>
    <row r="20" spans="1:4" ht="15" customHeight="1" x14ac:dyDescent="0.25">
      <c r="A20" s="19" t="s">
        <v>46</v>
      </c>
      <c r="B20" s="19" t="s">
        <v>47</v>
      </c>
      <c r="C20" s="19" t="s">
        <v>48</v>
      </c>
      <c r="D20" s="19" t="str">
        <f>A20&amp;" | "&amp;B20&amp;" | "&amp;C20</f>
        <v>BUG005 | Payments | Critical</v>
      </c>
    </row>
    <row r="23" spans="1:4" ht="14.25" customHeight="1" x14ac:dyDescent="0.25">
      <c r="A23" s="3" t="s">
        <v>208</v>
      </c>
    </row>
    <row r="24" spans="1:4" ht="14.25" customHeight="1" x14ac:dyDescent="0.25">
      <c r="A24" s="3" t="s">
        <v>209</v>
      </c>
      <c r="B24" s="3" t="s">
        <v>210</v>
      </c>
      <c r="C24" s="3" t="s">
        <v>211</v>
      </c>
      <c r="D24" s="3" t="s">
        <v>212</v>
      </c>
    </row>
    <row r="25" spans="1:4" ht="14.25" customHeight="1" x14ac:dyDescent="0.25">
      <c r="A25" s="3" t="s">
        <v>213</v>
      </c>
      <c r="B25" s="3" t="str">
        <f>LEFT(A25,FIND("-",A25)-1)</f>
        <v>BUG001</v>
      </c>
      <c r="C25" s="3" t="str">
        <f>MID(A25,FIND("-",A25)+1,FIND("-",A25,FIND("-",A25)+1)-FIND("-",A25)-1)</f>
        <v>Login</v>
      </c>
      <c r="D25" s="3" t="str">
        <f>TRIM(RIGHT(A25,LEN(A25)-FIND("-",A25,FIND("-",A25)+1)))</f>
        <v>High</v>
      </c>
    </row>
    <row r="26" spans="1:4" ht="14.25" customHeight="1" x14ac:dyDescent="0.25">
      <c r="A26" s="3" t="s">
        <v>214</v>
      </c>
    </row>
    <row r="28" spans="1:4" ht="14.25" customHeight="1" x14ac:dyDescent="0.25">
      <c r="A28" s="3" t="s">
        <v>215</v>
      </c>
    </row>
    <row r="29" spans="1:4" ht="14.25" customHeight="1" x14ac:dyDescent="0.25">
      <c r="A29" s="3" t="s">
        <v>216</v>
      </c>
    </row>
    <row r="31" spans="1:4" ht="14.25" customHeight="1" x14ac:dyDescent="0.25">
      <c r="A31" s="3" t="s">
        <v>217</v>
      </c>
    </row>
    <row r="32" spans="1:4" ht="14.25" customHeight="1" x14ac:dyDescent="0.25">
      <c r="A32" s="3" t="s">
        <v>4</v>
      </c>
      <c r="B32" s="3" t="s">
        <v>218</v>
      </c>
    </row>
    <row r="33" spans="1:2" ht="14.25" customHeight="1" x14ac:dyDescent="0.25">
      <c r="A33" s="3" t="s">
        <v>48</v>
      </c>
      <c r="B33" s="3">
        <f>COUNTIF(Dataset!$D:$D,"Critical")</f>
        <v>5</v>
      </c>
    </row>
    <row r="34" spans="1:2" ht="14.25" customHeight="1" x14ac:dyDescent="0.25">
      <c r="A34" s="3" t="s">
        <v>16</v>
      </c>
      <c r="B34" s="3">
        <f>COUNTIF(Dataset!$D:$D,"High")</f>
        <v>5</v>
      </c>
    </row>
    <row r="35" spans="1:2" ht="14.25" customHeight="1" x14ac:dyDescent="0.25">
      <c r="A35" s="3" t="s">
        <v>26</v>
      </c>
      <c r="B35" s="3">
        <f>COUNTIF(Dataset!$D:$D,"Medium")</f>
        <v>5</v>
      </c>
    </row>
    <row r="36" spans="1:2" ht="14.25" customHeight="1" x14ac:dyDescent="0.25">
      <c r="A36" s="3" t="s">
        <v>35</v>
      </c>
      <c r="B36" s="3">
        <f>COUNTIF(Dataset!$D:$D,"Low")</f>
        <v>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Validations</vt:lpstr>
      <vt:lpstr>Advanced Filter</vt:lpstr>
      <vt:lpstr>Advanced Sorting</vt:lpstr>
      <vt:lpstr>Hyper Data Linking</vt:lpstr>
      <vt:lpstr>Math Trig Functions</vt:lpstr>
      <vt:lpstr>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Vigneshwaran M</cp:lastModifiedBy>
  <cp:revision>10</cp:revision>
  <dcterms:created xsi:type="dcterms:W3CDTF">2026-06-09T04:11:16Z</dcterms:created>
  <dcterms:modified xsi:type="dcterms:W3CDTF">2026-06-19T11:39:37Z</dcterms:modified>
  <dc:language>en-US</dc:language>
</cp:coreProperties>
</file>